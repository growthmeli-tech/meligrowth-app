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árgenes y Co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6B6B6B"/>
      <sz val="9"/>
    </font>
    <font>
      <name val="Arial"/>
      <b val="1"/>
      <color rgb="001A1A1A"/>
      <sz val="10"/>
    </font>
    <font>
      <name val="Arial"/>
      <b val="1"/>
      <color rgb="00FFFFFF"/>
      <sz val="10"/>
    </font>
    <font>
      <name val="Arial"/>
      <color rgb="001A1A1A"/>
      <sz val="10"/>
    </font>
    <font>
      <name val="Arial"/>
      <b val="1"/>
      <color rgb="002E7D32"/>
      <sz val="10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FD600"/>
      </patternFill>
    </fill>
    <fill>
      <patternFill patternType="solid">
        <fgColor rgb="002E7D32"/>
      </patternFill>
    </fill>
    <fill>
      <patternFill patternType="solid">
        <fgColor rgb="00FFF9E6"/>
      </patternFill>
    </fill>
    <fill>
      <patternFill patternType="solid">
        <fgColor rgb="00F0F7E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/>
    </xf>
    <xf numFmtId="10" fontId="5" fillId="5" borderId="1" applyAlignment="1" pivotButton="0" quotePrefix="0" xfId="0">
      <alignment vertical="center"/>
    </xf>
    <xf numFmtId="164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zoomScale="10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12" customWidth="1" min="3" max="3"/>
    <col width="11" customWidth="1" min="4" max="4"/>
    <col width="14" customWidth="1" min="5" max="5"/>
    <col width="22" customWidth="1" min="6" max="6"/>
    <col width="14" customWidth="1" min="7" max="7"/>
    <col width="16" customWidth="1" min="8" max="8"/>
    <col width="17" customWidth="1" min="9" max="9"/>
    <col width="13" customWidth="1" min="10" max="10"/>
  </cols>
  <sheetData>
    <row r="1" ht="36" customHeight="1">
      <c r="A1" s="1" t="inlineStr">
        <is>
          <t>💰  PLANILLA 2 — Márgenes y Costos  ·  MeliGrowth OPS</t>
        </is>
      </c>
    </row>
    <row r="2" ht="20" customHeight="1">
      <c r="A2" s="2" t="inlineStr">
        <is>
          <t>Columnas AMARILLAS: completás vos  ·  Columnas VERDES: se calculan solas</t>
        </is>
      </c>
    </row>
    <row r="3">
      <c r="A3" s="3" t="inlineStr">
        <is>
          <t>SKU / Código ML</t>
        </is>
      </c>
      <c r="B3" s="3" t="inlineStr">
        <is>
          <t>Producto</t>
        </is>
      </c>
      <c r="C3" s="3" t="inlineStr">
        <is>
          <t>Costo $</t>
        </is>
      </c>
      <c r="D3" s="3" t="inlineStr">
        <is>
          <t>Peso (kg)</t>
        </is>
      </c>
      <c r="E3" s="3" t="inlineStr">
        <is>
          <t>Logística</t>
        </is>
      </c>
      <c r="F3" s="3" t="inlineStr">
        <is>
          <t>Reputación</t>
        </is>
      </c>
      <c r="G3" s="3" t="inlineStr">
        <is>
          <t>% Publicidad</t>
        </is>
      </c>
      <c r="H3" s="3" t="inlineStr">
        <is>
          <t>% Margen deseado</t>
        </is>
      </c>
      <c r="I3" s="4" t="inlineStr">
        <is>
          <t>PRECIO DE VENTA</t>
        </is>
      </c>
      <c r="J3" s="4" t="inlineStr">
        <is>
          <t>Ganancia $</t>
        </is>
      </c>
    </row>
    <row r="4">
      <c r="A4" s="2" t="inlineStr">
        <is>
          <t>ej: MLA-100111</t>
        </is>
      </c>
      <c r="B4" s="2" t="inlineStr">
        <is>
          <t>ej: Creatina 300g</t>
        </is>
      </c>
      <c r="C4" s="2" t="inlineStr">
        <is>
          <t>sin $</t>
        </is>
      </c>
      <c r="D4" s="2" t="inlineStr">
        <is>
          <t>embalado</t>
        </is>
      </c>
      <c r="E4" s="2" t="inlineStr">
        <is>
          <t>▼ elegí</t>
        </is>
      </c>
      <c r="F4" s="2" t="inlineStr">
        <is>
          <t>▼ elegí</t>
        </is>
      </c>
      <c r="G4" s="2" t="inlineStr">
        <is>
          <t>ej: 0.10 = 10%</t>
        </is>
      </c>
      <c r="H4" s="2" t="inlineStr">
        <is>
          <t>ej: 0.20 = 20%</t>
        </is>
      </c>
      <c r="I4" s="2" t="inlineStr">
        <is>
          <t>automático</t>
        </is>
      </c>
      <c r="J4" s="2" t="inlineStr">
        <is>
          <t>automático</t>
        </is>
      </c>
    </row>
    <row r="5" ht="22" customHeight="1">
      <c r="A5" s="5" t="inlineStr">
        <is>
          <t>MLA-100111</t>
        </is>
      </c>
      <c r="B5" s="5" t="inlineStr">
        <is>
          <t>Creatina monohidrato 300 g</t>
        </is>
      </c>
      <c r="C5" s="5" t="n">
        <v>4850</v>
      </c>
      <c r="D5" s="5" t="n">
        <v>0.4</v>
      </c>
      <c r="E5" s="5" t="inlineStr">
        <is>
          <t>Full</t>
        </is>
      </c>
      <c r="F5" s="5" t="inlineStr">
        <is>
          <t>Verde / MercadoLíder</t>
        </is>
      </c>
      <c r="G5" s="6" t="n">
        <v>0.1</v>
      </c>
      <c r="H5" s="6" t="n">
        <v>0.2</v>
      </c>
      <c r="I5" s="7">
        <f>IFERROR((IF(E5="Full",IF(D5&lt;=0.5,2190,IF(D5&lt;=1,2628,IF(D5&lt;=2,3030,IF(D5&lt;=5,3480,IF(D5&lt;=10,4800,IF(D5&lt;=20,5800,7200)))))),IF(E5="Flex",3030,0))+C5)/(1-H5-(IF(F5="Verde / MercadoLíder",0.1375,0.12))-G5),"—")</f>
        <v/>
      </c>
      <c r="J5" s="7">
        <f>IFERROR((I5)*H5,"—")</f>
        <v/>
      </c>
    </row>
    <row r="6" ht="22" customHeight="1">
      <c r="A6" s="5" t="inlineStr">
        <is>
          <t>MLA-100222</t>
        </is>
      </c>
      <c r="B6" s="5" t="inlineStr">
        <is>
          <t>Yerba mate Las Marías 1 kg x3</t>
        </is>
      </c>
      <c r="C6" s="5" t="n">
        <v>3200</v>
      </c>
      <c r="D6" s="5" t="n">
        <v>1.15</v>
      </c>
      <c r="E6" s="5" t="inlineStr">
        <is>
          <t>Full</t>
        </is>
      </c>
      <c r="F6" s="5" t="inlineStr">
        <is>
          <t>Verde / MercadoLíder</t>
        </is>
      </c>
      <c r="G6" s="6" t="n">
        <v>0.12</v>
      </c>
      <c r="H6" s="6" t="n">
        <v>0.18</v>
      </c>
      <c r="I6" s="7">
        <f>IFERROR((IF(E6="Full",IF(D6&lt;=0.5,2190,IF(D6&lt;=1,2628,IF(D6&lt;=2,3030,IF(D6&lt;=5,3480,IF(D6&lt;=10,4800,IF(D6&lt;=20,5800,7200)))))),IF(E6="Flex",3030,0))+C6)/(1-H6-(IF(F6="Verde / MercadoLíder",0.1375,0.12))-G6),"—")</f>
        <v/>
      </c>
      <c r="J6" s="7">
        <f>IFERROR((I6)*H6,"—")</f>
        <v/>
      </c>
    </row>
    <row r="7" ht="22" customHeight="1">
      <c r="A7" s="5" t="n"/>
      <c r="B7" s="5" t="n"/>
      <c r="C7" s="5" t="n"/>
      <c r="D7" s="5" t="n"/>
      <c r="E7" s="5" t="n"/>
      <c r="F7" s="5" t="n"/>
      <c r="G7" s="6" t="n"/>
      <c r="H7" s="6" t="n"/>
      <c r="I7" s="7">
        <f>IFERROR((IF(E7="Full",IF(D7&lt;=0.5,2190,IF(D7&lt;=1,2628,IF(D7&lt;=2,3030,IF(D7&lt;=5,3480,IF(D7&lt;=10,4800,IF(D7&lt;=20,5800,7200)))))),IF(E7="Flex",3030,0))+C7)/(1-H7-(IF(F7="Verde / MercadoLíder",0.1375,0.12))-G7),"—")</f>
        <v/>
      </c>
      <c r="J7" s="7">
        <f>IFERROR((I7)*H7,"—")</f>
        <v/>
      </c>
    </row>
    <row r="8" ht="22" customHeight="1">
      <c r="A8" s="5" t="n"/>
      <c r="B8" s="5" t="n"/>
      <c r="C8" s="5" t="n"/>
      <c r="D8" s="5" t="n"/>
      <c r="E8" s="5" t="n"/>
      <c r="F8" s="5" t="n"/>
      <c r="G8" s="6" t="n"/>
      <c r="H8" s="6" t="n"/>
      <c r="I8" s="7">
        <f>IFERROR((IF(E8="Full",IF(D8&lt;=0.5,2190,IF(D8&lt;=1,2628,IF(D8&lt;=2,3030,IF(D8&lt;=5,3480,IF(D8&lt;=10,4800,IF(D8&lt;=20,5800,7200)))))),IF(E8="Flex",3030,0))+C8)/(1-H8-(IF(F8="Verde / MercadoLíder",0.1375,0.12))-G8),"—")</f>
        <v/>
      </c>
      <c r="J8" s="7">
        <f>IFERROR((I8)*H8,"—")</f>
        <v/>
      </c>
    </row>
    <row r="9" ht="22" customHeight="1">
      <c r="A9" s="5" t="n"/>
      <c r="B9" s="5" t="n"/>
      <c r="C9" s="5" t="n"/>
      <c r="D9" s="5" t="n"/>
      <c r="E9" s="5" t="n"/>
      <c r="F9" s="5" t="n"/>
      <c r="G9" s="6" t="n"/>
      <c r="H9" s="6" t="n"/>
      <c r="I9" s="7">
        <f>IFERROR((IF(E9="Full",IF(D9&lt;=0.5,2190,IF(D9&lt;=1,2628,IF(D9&lt;=2,3030,IF(D9&lt;=5,3480,IF(D9&lt;=10,4800,IF(D9&lt;=20,5800,7200)))))),IF(E9="Flex",3030,0))+C9)/(1-H9-(IF(F9="Verde / MercadoLíder",0.1375,0.12))-G9),"—")</f>
        <v/>
      </c>
      <c r="J9" s="7">
        <f>IFERROR((I9)*H9,"—")</f>
        <v/>
      </c>
    </row>
    <row r="10" ht="22" customHeight="1">
      <c r="A10" s="5" t="n"/>
      <c r="B10" s="5" t="n"/>
      <c r="C10" s="5" t="n"/>
      <c r="D10" s="5" t="n"/>
      <c r="E10" s="5" t="n"/>
      <c r="F10" s="5" t="n"/>
      <c r="G10" s="6" t="n"/>
      <c r="H10" s="6" t="n"/>
      <c r="I10" s="7">
        <f>IFERROR((IF(E10="Full",IF(D10&lt;=0.5,2190,IF(D10&lt;=1,2628,IF(D10&lt;=2,3030,IF(D10&lt;=5,3480,IF(D10&lt;=10,4800,IF(D10&lt;=20,5800,7200)))))),IF(E10="Flex",3030,0))+C10)/(1-H10-(IF(F10="Verde / MercadoLíder",0.1375,0.12))-G10),"—")</f>
        <v/>
      </c>
      <c r="J10" s="7">
        <f>IFERROR((I10)*H10,"—")</f>
        <v/>
      </c>
    </row>
    <row r="11" ht="22" customHeight="1">
      <c r="A11" s="5" t="n"/>
      <c r="B11" s="5" t="n"/>
      <c r="C11" s="5" t="n"/>
      <c r="D11" s="5" t="n"/>
      <c r="E11" s="5" t="n"/>
      <c r="F11" s="5" t="n"/>
      <c r="G11" s="6" t="n"/>
      <c r="H11" s="6" t="n"/>
      <c r="I11" s="7">
        <f>IFERROR((IF(E11="Full",IF(D11&lt;=0.5,2190,IF(D11&lt;=1,2628,IF(D11&lt;=2,3030,IF(D11&lt;=5,3480,IF(D11&lt;=10,4800,IF(D11&lt;=20,5800,7200)))))),IF(E11="Flex",3030,0))+C11)/(1-H11-(IF(F11="Verde / MercadoLíder",0.1375,0.12))-G11),"—")</f>
        <v/>
      </c>
      <c r="J11" s="7">
        <f>IFERROR((I11)*H11,"—")</f>
        <v/>
      </c>
    </row>
    <row r="12" ht="22" customHeight="1">
      <c r="A12" s="5" t="n"/>
      <c r="B12" s="5" t="n"/>
      <c r="C12" s="5" t="n"/>
      <c r="D12" s="5" t="n"/>
      <c r="E12" s="5" t="n"/>
      <c r="F12" s="5" t="n"/>
      <c r="G12" s="6" t="n"/>
      <c r="H12" s="6" t="n"/>
      <c r="I12" s="7">
        <f>IFERROR((IF(E12="Full",IF(D12&lt;=0.5,2190,IF(D12&lt;=1,2628,IF(D12&lt;=2,3030,IF(D12&lt;=5,3480,IF(D12&lt;=10,4800,IF(D12&lt;=20,5800,7200)))))),IF(E12="Flex",3030,0))+C12)/(1-H12-(IF(F12="Verde / MercadoLíder",0.1375,0.12))-G12),"—")</f>
        <v/>
      </c>
      <c r="J12" s="7">
        <f>IFERROR((I12)*H12,"—")</f>
        <v/>
      </c>
    </row>
    <row r="13" ht="22" customHeight="1">
      <c r="A13" s="5" t="n"/>
      <c r="B13" s="5" t="n"/>
      <c r="C13" s="5" t="n"/>
      <c r="D13" s="5" t="n"/>
      <c r="E13" s="5" t="n"/>
      <c r="F13" s="5" t="n"/>
      <c r="G13" s="6" t="n"/>
      <c r="H13" s="6" t="n"/>
      <c r="I13" s="7">
        <f>IFERROR((IF(E13="Full",IF(D13&lt;=0.5,2190,IF(D13&lt;=1,2628,IF(D13&lt;=2,3030,IF(D13&lt;=5,3480,IF(D13&lt;=10,4800,IF(D13&lt;=20,5800,7200)))))),IF(E13="Flex",3030,0))+C13)/(1-H13-(IF(F13="Verde / MercadoLíder",0.1375,0.12))-G13),"—")</f>
        <v/>
      </c>
      <c r="J13" s="7">
        <f>IFERROR((I13)*H13,"—")</f>
        <v/>
      </c>
    </row>
    <row r="14" ht="22" customHeight="1">
      <c r="A14" s="5" t="n"/>
      <c r="B14" s="5" t="n"/>
      <c r="C14" s="5" t="n"/>
      <c r="D14" s="5" t="n"/>
      <c r="E14" s="5" t="n"/>
      <c r="F14" s="5" t="n"/>
      <c r="G14" s="6" t="n"/>
      <c r="H14" s="6" t="n"/>
      <c r="I14" s="7">
        <f>IFERROR((IF(E14="Full",IF(D14&lt;=0.5,2190,IF(D14&lt;=1,2628,IF(D14&lt;=2,3030,IF(D14&lt;=5,3480,IF(D14&lt;=10,4800,IF(D14&lt;=20,5800,7200)))))),IF(E14="Flex",3030,0))+C14)/(1-H14-(IF(F14="Verde / MercadoLíder",0.1375,0.12))-G14),"—")</f>
        <v/>
      </c>
      <c r="J14" s="7">
        <f>IFERROR((I14)*H14,"—")</f>
        <v/>
      </c>
    </row>
    <row r="15" ht="22" customHeight="1">
      <c r="A15" s="5" t="n"/>
      <c r="B15" s="5" t="n"/>
      <c r="C15" s="5" t="n"/>
      <c r="D15" s="5" t="n"/>
      <c r="E15" s="5" t="n"/>
      <c r="F15" s="5" t="n"/>
      <c r="G15" s="6" t="n"/>
      <c r="H15" s="6" t="n"/>
      <c r="I15" s="7">
        <f>IFERROR((IF(E15="Full",IF(D15&lt;=0.5,2190,IF(D15&lt;=1,2628,IF(D15&lt;=2,3030,IF(D15&lt;=5,3480,IF(D15&lt;=10,4800,IF(D15&lt;=20,5800,7200)))))),IF(E15="Flex",3030,0))+C15)/(1-H15-(IF(F15="Verde / MercadoLíder",0.1375,0.12))-G15),"—")</f>
        <v/>
      </c>
      <c r="J15" s="7">
        <f>IFERROR((I15)*H15,"—")</f>
        <v/>
      </c>
    </row>
    <row r="16" ht="22" customHeight="1">
      <c r="A16" s="5" t="n"/>
      <c r="B16" s="5" t="n"/>
      <c r="C16" s="5" t="n"/>
      <c r="D16" s="5" t="n"/>
      <c r="E16" s="5" t="n"/>
      <c r="F16" s="5" t="n"/>
      <c r="G16" s="6" t="n"/>
      <c r="H16" s="6" t="n"/>
      <c r="I16" s="7">
        <f>IFERROR((IF(E16="Full",IF(D16&lt;=0.5,2190,IF(D16&lt;=1,2628,IF(D16&lt;=2,3030,IF(D16&lt;=5,3480,IF(D16&lt;=10,4800,IF(D16&lt;=20,5800,7200)))))),IF(E16="Flex",3030,0))+C16)/(1-H16-(IF(F16="Verde / MercadoLíder",0.1375,0.12))-G16),"—")</f>
        <v/>
      </c>
      <c r="J16" s="7">
        <f>IFERROR((I16)*H16,"—")</f>
        <v/>
      </c>
    </row>
    <row r="17" ht="22" customHeight="1">
      <c r="A17" s="5" t="n"/>
      <c r="B17" s="5" t="n"/>
      <c r="C17" s="5" t="n"/>
      <c r="D17" s="5" t="n"/>
      <c r="E17" s="5" t="n"/>
      <c r="F17" s="5" t="n"/>
      <c r="G17" s="6" t="n"/>
      <c r="H17" s="6" t="n"/>
      <c r="I17" s="7">
        <f>IFERROR((IF(E17="Full",IF(D17&lt;=0.5,2190,IF(D17&lt;=1,2628,IF(D17&lt;=2,3030,IF(D17&lt;=5,3480,IF(D17&lt;=10,4800,IF(D17&lt;=20,5800,7200)))))),IF(E17="Flex",3030,0))+C17)/(1-H17-(IF(F17="Verde / MercadoLíder",0.1375,0.12))-G17),"—")</f>
        <v/>
      </c>
      <c r="J17" s="7">
        <f>IFERROR((I17)*H17,"—")</f>
        <v/>
      </c>
    </row>
    <row r="18" ht="22" customHeight="1">
      <c r="A18" s="5" t="n"/>
      <c r="B18" s="5" t="n"/>
      <c r="C18" s="5" t="n"/>
      <c r="D18" s="5" t="n"/>
      <c r="E18" s="5" t="n"/>
      <c r="F18" s="5" t="n"/>
      <c r="G18" s="6" t="n"/>
      <c r="H18" s="6" t="n"/>
      <c r="I18" s="7">
        <f>IFERROR((IF(E18="Full",IF(D18&lt;=0.5,2190,IF(D18&lt;=1,2628,IF(D18&lt;=2,3030,IF(D18&lt;=5,3480,IF(D18&lt;=10,4800,IF(D18&lt;=20,5800,7200)))))),IF(E18="Flex",3030,0))+C18)/(1-H18-(IF(F18="Verde / MercadoLíder",0.1375,0.12))-G18),"—")</f>
        <v/>
      </c>
      <c r="J18" s="7">
        <f>IFERROR((I18)*H18,"—")</f>
        <v/>
      </c>
    </row>
    <row r="19" ht="22" customHeight="1">
      <c r="A19" s="5" t="n"/>
      <c r="B19" s="5" t="n"/>
      <c r="C19" s="5" t="n"/>
      <c r="D19" s="5" t="n"/>
      <c r="E19" s="5" t="n"/>
      <c r="F19" s="5" t="n"/>
      <c r="G19" s="6" t="n"/>
      <c r="H19" s="6" t="n"/>
      <c r="I19" s="7">
        <f>IFERROR((IF(E19="Full",IF(D19&lt;=0.5,2190,IF(D19&lt;=1,2628,IF(D19&lt;=2,3030,IF(D19&lt;=5,3480,IF(D19&lt;=10,4800,IF(D19&lt;=20,5800,7200)))))),IF(E19="Flex",3030,0))+C19)/(1-H19-(IF(F19="Verde / MercadoLíder",0.1375,0.12))-G19),"—")</f>
        <v/>
      </c>
      <c r="J19" s="7">
        <f>IFERROR((I19)*H19,"—")</f>
        <v/>
      </c>
    </row>
    <row r="20" ht="22" customHeight="1">
      <c r="A20" s="5" t="n"/>
      <c r="B20" s="5" t="n"/>
      <c r="C20" s="5" t="n"/>
      <c r="D20" s="5" t="n"/>
      <c r="E20" s="5" t="n"/>
      <c r="F20" s="5" t="n"/>
      <c r="G20" s="6" t="n"/>
      <c r="H20" s="6" t="n"/>
      <c r="I20" s="7">
        <f>IFERROR((IF(E20="Full",IF(D20&lt;=0.5,2190,IF(D20&lt;=1,2628,IF(D20&lt;=2,3030,IF(D20&lt;=5,3480,IF(D20&lt;=10,4800,IF(D20&lt;=20,5800,7200)))))),IF(E20="Flex",3030,0))+C20)/(1-H20-(IF(F20="Verde / MercadoLíder",0.1375,0.12))-G20),"—")</f>
        <v/>
      </c>
      <c r="J20" s="7">
        <f>IFERROR((I20)*H20,"—")</f>
        <v/>
      </c>
    </row>
    <row r="21" ht="22" customHeight="1">
      <c r="A21" s="5" t="n"/>
      <c r="B21" s="5" t="n"/>
      <c r="C21" s="5" t="n"/>
      <c r="D21" s="5" t="n"/>
      <c r="E21" s="5" t="n"/>
      <c r="F21" s="5" t="n"/>
      <c r="G21" s="6" t="n"/>
      <c r="H21" s="6" t="n"/>
      <c r="I21" s="7">
        <f>IFERROR((IF(E21="Full",IF(D21&lt;=0.5,2190,IF(D21&lt;=1,2628,IF(D21&lt;=2,3030,IF(D21&lt;=5,3480,IF(D21&lt;=10,4800,IF(D21&lt;=20,5800,7200)))))),IF(E21="Flex",3030,0))+C21)/(1-H21-(IF(F21="Verde / MercadoLíder",0.1375,0.12))-G21),"—")</f>
        <v/>
      </c>
      <c r="J21" s="7">
        <f>IFERROR((I21)*H21,"—")</f>
        <v/>
      </c>
    </row>
    <row r="22" ht="22" customHeight="1">
      <c r="A22" s="5" t="n"/>
      <c r="B22" s="5" t="n"/>
      <c r="C22" s="5" t="n"/>
      <c r="D22" s="5" t="n"/>
      <c r="E22" s="5" t="n"/>
      <c r="F22" s="5" t="n"/>
      <c r="G22" s="6" t="n"/>
      <c r="H22" s="6" t="n"/>
      <c r="I22" s="7">
        <f>IFERROR((IF(E22="Full",IF(D22&lt;=0.5,2190,IF(D22&lt;=1,2628,IF(D22&lt;=2,3030,IF(D22&lt;=5,3480,IF(D22&lt;=10,4800,IF(D22&lt;=20,5800,7200)))))),IF(E22="Flex",3030,0))+C22)/(1-H22-(IF(F22="Verde / MercadoLíder",0.1375,0.12))-G22),"—")</f>
        <v/>
      </c>
      <c r="J22" s="7">
        <f>IFERROR((I22)*H22,"—")</f>
        <v/>
      </c>
    </row>
    <row r="23" ht="22" customHeight="1">
      <c r="A23" s="5" t="n"/>
      <c r="B23" s="5" t="n"/>
      <c r="C23" s="5" t="n"/>
      <c r="D23" s="5" t="n"/>
      <c r="E23" s="5" t="n"/>
      <c r="F23" s="5" t="n"/>
      <c r="G23" s="6" t="n"/>
      <c r="H23" s="6" t="n"/>
      <c r="I23" s="7">
        <f>IFERROR((IF(E23="Full",IF(D23&lt;=0.5,2190,IF(D23&lt;=1,2628,IF(D23&lt;=2,3030,IF(D23&lt;=5,3480,IF(D23&lt;=10,4800,IF(D23&lt;=20,5800,7200)))))),IF(E23="Flex",3030,0))+C23)/(1-H23-(IF(F23="Verde / MercadoLíder",0.1375,0.12))-G23),"—")</f>
        <v/>
      </c>
      <c r="J23" s="7">
        <f>IFERROR((I23)*H23,"—")</f>
        <v/>
      </c>
    </row>
    <row r="24" ht="22" customHeight="1">
      <c r="A24" s="5" t="n"/>
      <c r="B24" s="5" t="n"/>
      <c r="C24" s="5" t="n"/>
      <c r="D24" s="5" t="n"/>
      <c r="E24" s="5" t="n"/>
      <c r="F24" s="5" t="n"/>
      <c r="G24" s="6" t="n"/>
      <c r="H24" s="6" t="n"/>
      <c r="I24" s="7">
        <f>IFERROR((IF(E24="Full",IF(D24&lt;=0.5,2190,IF(D24&lt;=1,2628,IF(D24&lt;=2,3030,IF(D24&lt;=5,3480,IF(D24&lt;=10,4800,IF(D24&lt;=20,5800,7200)))))),IF(E24="Flex",3030,0))+C24)/(1-H24-(IF(F24="Verde / MercadoLíder",0.1375,0.12))-G24),"—")</f>
        <v/>
      </c>
      <c r="J24" s="7">
        <f>IFERROR((I24)*H24,"—")</f>
        <v/>
      </c>
    </row>
    <row r="25" ht="22" customHeight="1">
      <c r="A25" s="5" t="n"/>
      <c r="B25" s="5" t="n"/>
      <c r="C25" s="5" t="n"/>
      <c r="D25" s="5" t="n"/>
      <c r="E25" s="5" t="n"/>
      <c r="F25" s="5" t="n"/>
      <c r="G25" s="6" t="n"/>
      <c r="H25" s="6" t="n"/>
      <c r="I25" s="7">
        <f>IFERROR((IF(E25="Full",IF(D25&lt;=0.5,2190,IF(D25&lt;=1,2628,IF(D25&lt;=2,3030,IF(D25&lt;=5,3480,IF(D25&lt;=10,4800,IF(D25&lt;=20,5800,7200)))))),IF(E25="Flex",3030,0))+C25)/(1-H25-(IF(F25="Verde / MercadoLíder",0.1375,0.12))-G25),"—")</f>
        <v/>
      </c>
      <c r="J25" s="7">
        <f>IFERROR((I25)*H25,"—")</f>
        <v/>
      </c>
    </row>
    <row r="26" ht="22" customHeight="1">
      <c r="A26" s="5" t="n"/>
      <c r="B26" s="5" t="n"/>
      <c r="C26" s="5" t="n"/>
      <c r="D26" s="5" t="n"/>
      <c r="E26" s="5" t="n"/>
      <c r="F26" s="5" t="n"/>
      <c r="G26" s="6" t="n"/>
      <c r="H26" s="6" t="n"/>
      <c r="I26" s="7">
        <f>IFERROR((IF(E26="Full",IF(D26&lt;=0.5,2190,IF(D26&lt;=1,2628,IF(D26&lt;=2,3030,IF(D26&lt;=5,3480,IF(D26&lt;=10,4800,IF(D26&lt;=20,5800,7200)))))),IF(E26="Flex",3030,0))+C26)/(1-H26-(IF(F26="Verde / MercadoLíder",0.1375,0.12))-G26),"—")</f>
        <v/>
      </c>
      <c r="J26" s="7">
        <f>IFERROR((I26)*H26,"—")</f>
        <v/>
      </c>
    </row>
    <row r="27" ht="22" customHeight="1">
      <c r="A27" s="5" t="n"/>
      <c r="B27" s="5" t="n"/>
      <c r="C27" s="5" t="n"/>
      <c r="D27" s="5" t="n"/>
      <c r="E27" s="5" t="n"/>
      <c r="F27" s="5" t="n"/>
      <c r="G27" s="6" t="n"/>
      <c r="H27" s="6" t="n"/>
      <c r="I27" s="7">
        <f>IFERROR((IF(E27="Full",IF(D27&lt;=0.5,2190,IF(D27&lt;=1,2628,IF(D27&lt;=2,3030,IF(D27&lt;=5,3480,IF(D27&lt;=10,4800,IF(D27&lt;=20,5800,7200)))))),IF(E27="Flex",3030,0))+C27)/(1-H27-(IF(F27="Verde / MercadoLíder",0.1375,0.12))-G27),"—")</f>
        <v/>
      </c>
      <c r="J27" s="7">
        <f>IFERROR((I27)*H27,"—")</f>
        <v/>
      </c>
    </row>
    <row r="28" ht="22" customHeight="1">
      <c r="A28" s="5" t="n"/>
      <c r="B28" s="5" t="n"/>
      <c r="C28" s="5" t="n"/>
      <c r="D28" s="5" t="n"/>
      <c r="E28" s="5" t="n"/>
      <c r="F28" s="5" t="n"/>
      <c r="G28" s="6" t="n"/>
      <c r="H28" s="6" t="n"/>
      <c r="I28" s="7">
        <f>IFERROR((IF(E28="Full",IF(D28&lt;=0.5,2190,IF(D28&lt;=1,2628,IF(D28&lt;=2,3030,IF(D28&lt;=5,3480,IF(D28&lt;=10,4800,IF(D28&lt;=20,5800,7200)))))),IF(E28="Flex",3030,0))+C28)/(1-H28-(IF(F28="Verde / MercadoLíder",0.1375,0.12))-G28),"—")</f>
        <v/>
      </c>
      <c r="J28" s="7">
        <f>IFERROR((I28)*H28,"—")</f>
        <v/>
      </c>
    </row>
    <row r="29" ht="22" customHeight="1">
      <c r="A29" s="5" t="n"/>
      <c r="B29" s="5" t="n"/>
      <c r="C29" s="5" t="n"/>
      <c r="D29" s="5" t="n"/>
      <c r="E29" s="5" t="n"/>
      <c r="F29" s="5" t="n"/>
      <c r="G29" s="6" t="n"/>
      <c r="H29" s="6" t="n"/>
      <c r="I29" s="7">
        <f>IFERROR((IF(E29="Full",IF(D29&lt;=0.5,2190,IF(D29&lt;=1,2628,IF(D29&lt;=2,3030,IF(D29&lt;=5,3480,IF(D29&lt;=10,4800,IF(D29&lt;=20,5800,7200)))))),IF(E29="Flex",3030,0))+C29)/(1-H29-(IF(F29="Verde / MercadoLíder",0.1375,0.12))-G29),"—")</f>
        <v/>
      </c>
      <c r="J29" s="7">
        <f>IFERROR((I29)*H29,"—")</f>
        <v/>
      </c>
    </row>
    <row r="30" ht="22" customHeight="1">
      <c r="A30" s="5" t="n"/>
      <c r="B30" s="5" t="n"/>
      <c r="C30" s="5" t="n"/>
      <c r="D30" s="5" t="n"/>
      <c r="E30" s="5" t="n"/>
      <c r="F30" s="5" t="n"/>
      <c r="G30" s="6" t="n"/>
      <c r="H30" s="6" t="n"/>
      <c r="I30" s="7">
        <f>IFERROR((IF(E30="Full",IF(D30&lt;=0.5,2190,IF(D30&lt;=1,2628,IF(D30&lt;=2,3030,IF(D30&lt;=5,3480,IF(D30&lt;=10,4800,IF(D30&lt;=20,5800,7200)))))),IF(E30="Flex",3030,0))+C30)/(1-H30-(IF(F30="Verde / MercadoLíder",0.1375,0.12))-G30),"—")</f>
        <v/>
      </c>
      <c r="J30" s="7">
        <f>IFERROR((I30)*H30,"—")</f>
        <v/>
      </c>
    </row>
    <row r="31" ht="22" customHeight="1">
      <c r="A31" s="5" t="n"/>
      <c r="B31" s="5" t="n"/>
      <c r="C31" s="5" t="n"/>
      <c r="D31" s="5" t="n"/>
      <c r="E31" s="5" t="n"/>
      <c r="F31" s="5" t="n"/>
      <c r="G31" s="6" t="n"/>
      <c r="H31" s="6" t="n"/>
      <c r="I31" s="7">
        <f>IFERROR((IF(E31="Full",IF(D31&lt;=0.5,2190,IF(D31&lt;=1,2628,IF(D31&lt;=2,3030,IF(D31&lt;=5,3480,IF(D31&lt;=10,4800,IF(D31&lt;=20,5800,7200)))))),IF(E31="Flex",3030,0))+C31)/(1-H31-(IF(F31="Verde / MercadoLíder",0.1375,0.12))-G31),"—")</f>
        <v/>
      </c>
      <c r="J31" s="7">
        <f>IFERROR((I31)*H31,"—")</f>
        <v/>
      </c>
    </row>
    <row r="32" ht="22" customHeight="1">
      <c r="A32" s="5" t="n"/>
      <c r="B32" s="5" t="n"/>
      <c r="C32" s="5" t="n"/>
      <c r="D32" s="5" t="n"/>
      <c r="E32" s="5" t="n"/>
      <c r="F32" s="5" t="n"/>
      <c r="G32" s="6" t="n"/>
      <c r="H32" s="6" t="n"/>
      <c r="I32" s="7">
        <f>IFERROR((IF(E32="Full",IF(D32&lt;=0.5,2190,IF(D32&lt;=1,2628,IF(D32&lt;=2,3030,IF(D32&lt;=5,3480,IF(D32&lt;=10,4800,IF(D32&lt;=20,5800,7200)))))),IF(E32="Flex",3030,0))+C32)/(1-H32-(IF(F32="Verde / MercadoLíder",0.1375,0.12))-G32),"—")</f>
        <v/>
      </c>
      <c r="J32" s="7">
        <f>IFERROR((I32)*H32,"—")</f>
        <v/>
      </c>
    </row>
    <row r="33" ht="22" customHeight="1">
      <c r="A33" s="5" t="n"/>
      <c r="B33" s="5" t="n"/>
      <c r="C33" s="5" t="n"/>
      <c r="D33" s="5" t="n"/>
      <c r="E33" s="5" t="n"/>
      <c r="F33" s="5" t="n"/>
      <c r="G33" s="6" t="n"/>
      <c r="H33" s="6" t="n"/>
      <c r="I33" s="7">
        <f>IFERROR((IF(E33="Full",IF(D33&lt;=0.5,2190,IF(D33&lt;=1,2628,IF(D33&lt;=2,3030,IF(D33&lt;=5,3480,IF(D33&lt;=10,4800,IF(D33&lt;=20,5800,7200)))))),IF(E33="Flex",3030,0))+C33)/(1-H33-(IF(F33="Verde / MercadoLíder",0.1375,0.12))-G33),"—")</f>
        <v/>
      </c>
      <c r="J33" s="7">
        <f>IFERROR((I33)*H33,"—")</f>
        <v/>
      </c>
    </row>
    <row r="34" ht="22" customHeight="1">
      <c r="A34" s="5" t="n"/>
      <c r="B34" s="5" t="n"/>
      <c r="C34" s="5" t="n"/>
      <c r="D34" s="5" t="n"/>
      <c r="E34" s="5" t="n"/>
      <c r="F34" s="5" t="n"/>
      <c r="G34" s="6" t="n"/>
      <c r="H34" s="6" t="n"/>
      <c r="I34" s="7">
        <f>IFERROR((IF(E34="Full",IF(D34&lt;=0.5,2190,IF(D34&lt;=1,2628,IF(D34&lt;=2,3030,IF(D34&lt;=5,3480,IF(D34&lt;=10,4800,IF(D34&lt;=20,5800,7200)))))),IF(E34="Flex",3030,0))+C34)/(1-H34-(IF(F34="Verde / MercadoLíder",0.1375,0.12))-G34),"—")</f>
        <v/>
      </c>
      <c r="J34" s="7">
        <f>IFERROR((I34)*H34,"—")</f>
        <v/>
      </c>
    </row>
    <row r="35" ht="22" customHeight="1">
      <c r="A35" s="5" t="n"/>
      <c r="B35" s="5" t="n"/>
      <c r="C35" s="5" t="n"/>
      <c r="D35" s="5" t="n"/>
      <c r="E35" s="5" t="n"/>
      <c r="F35" s="5" t="n"/>
      <c r="G35" s="6" t="n"/>
      <c r="H35" s="6" t="n"/>
      <c r="I35" s="7">
        <f>IFERROR((IF(E35="Full",IF(D35&lt;=0.5,2190,IF(D35&lt;=1,2628,IF(D35&lt;=2,3030,IF(D35&lt;=5,3480,IF(D35&lt;=10,4800,IF(D35&lt;=20,5800,7200)))))),IF(E35="Flex",3030,0))+C35)/(1-H35-(IF(F35="Verde / MercadoLíder",0.1375,0.12))-G35),"—")</f>
        <v/>
      </c>
      <c r="J35" s="7">
        <f>IFERROR((I35)*H35,"—")</f>
        <v/>
      </c>
    </row>
    <row r="36" ht="22" customHeight="1">
      <c r="A36" s="5" t="n"/>
      <c r="B36" s="5" t="n"/>
      <c r="C36" s="5" t="n"/>
      <c r="D36" s="5" t="n"/>
      <c r="E36" s="5" t="n"/>
      <c r="F36" s="5" t="n"/>
      <c r="G36" s="6" t="n"/>
      <c r="H36" s="6" t="n"/>
      <c r="I36" s="7">
        <f>IFERROR((IF(E36="Full",IF(D36&lt;=0.5,2190,IF(D36&lt;=1,2628,IF(D36&lt;=2,3030,IF(D36&lt;=5,3480,IF(D36&lt;=10,4800,IF(D36&lt;=20,5800,7200)))))),IF(E36="Flex",3030,0))+C36)/(1-H36-(IF(F36="Verde / MercadoLíder",0.1375,0.12))-G36),"—")</f>
        <v/>
      </c>
      <c r="J36" s="7">
        <f>IFERROR((I36)*H36,"—")</f>
        <v/>
      </c>
    </row>
    <row r="37" ht="22" customHeight="1">
      <c r="A37" s="5" t="n"/>
      <c r="B37" s="5" t="n"/>
      <c r="C37" s="5" t="n"/>
      <c r="D37" s="5" t="n"/>
      <c r="E37" s="5" t="n"/>
      <c r="F37" s="5" t="n"/>
      <c r="G37" s="6" t="n"/>
      <c r="H37" s="6" t="n"/>
      <c r="I37" s="7">
        <f>IFERROR((IF(E37="Full",IF(D37&lt;=0.5,2190,IF(D37&lt;=1,2628,IF(D37&lt;=2,3030,IF(D37&lt;=5,3480,IF(D37&lt;=10,4800,IF(D37&lt;=20,5800,7200)))))),IF(E37="Flex",3030,0))+C37)/(1-H37-(IF(F37="Verde / MercadoLíder",0.1375,0.12))-G37),"—")</f>
        <v/>
      </c>
      <c r="J37" s="7">
        <f>IFERROR((I37)*H37,"—")</f>
        <v/>
      </c>
    </row>
    <row r="38" ht="22" customHeight="1">
      <c r="A38" s="5" t="n"/>
      <c r="B38" s="5" t="n"/>
      <c r="C38" s="5" t="n"/>
      <c r="D38" s="5" t="n"/>
      <c r="E38" s="5" t="n"/>
      <c r="F38" s="5" t="n"/>
      <c r="G38" s="6" t="n"/>
      <c r="H38" s="6" t="n"/>
      <c r="I38" s="7">
        <f>IFERROR((IF(E38="Full",IF(D38&lt;=0.5,2190,IF(D38&lt;=1,2628,IF(D38&lt;=2,3030,IF(D38&lt;=5,3480,IF(D38&lt;=10,4800,IF(D38&lt;=20,5800,7200)))))),IF(E38="Flex",3030,0))+C38)/(1-H38-(IF(F38="Verde / MercadoLíder",0.1375,0.12))-G38),"—")</f>
        <v/>
      </c>
      <c r="J38" s="7">
        <f>IFERROR((I38)*H38,"—")</f>
        <v/>
      </c>
    </row>
    <row r="39" ht="22" customHeight="1">
      <c r="A39" s="5" t="n"/>
      <c r="B39" s="5" t="n"/>
      <c r="C39" s="5" t="n"/>
      <c r="D39" s="5" t="n"/>
      <c r="E39" s="5" t="n"/>
      <c r="F39" s="5" t="n"/>
      <c r="G39" s="6" t="n"/>
      <c r="H39" s="6" t="n"/>
      <c r="I39" s="7">
        <f>IFERROR((IF(E39="Full",IF(D39&lt;=0.5,2190,IF(D39&lt;=1,2628,IF(D39&lt;=2,3030,IF(D39&lt;=5,3480,IF(D39&lt;=10,4800,IF(D39&lt;=20,5800,7200)))))),IF(E39="Flex",3030,0))+C39)/(1-H39-(IF(F39="Verde / MercadoLíder",0.1375,0.12))-G39),"—")</f>
        <v/>
      </c>
      <c r="J39" s="7">
        <f>IFERROR((I39)*H39,"—")</f>
        <v/>
      </c>
    </row>
    <row r="40" ht="22" customHeight="1">
      <c r="A40" s="5" t="n"/>
      <c r="B40" s="5" t="n"/>
      <c r="C40" s="5" t="n"/>
      <c r="D40" s="5" t="n"/>
      <c r="E40" s="5" t="n"/>
      <c r="F40" s="5" t="n"/>
      <c r="G40" s="6" t="n"/>
      <c r="H40" s="6" t="n"/>
      <c r="I40" s="7">
        <f>IFERROR((IF(E40="Full",IF(D40&lt;=0.5,2190,IF(D40&lt;=1,2628,IF(D40&lt;=2,3030,IF(D40&lt;=5,3480,IF(D40&lt;=10,4800,IF(D40&lt;=20,5800,7200)))))),IF(E40="Flex",3030,0))+C40)/(1-H40-(IF(F40="Verde / MercadoLíder",0.1375,0.12))-G40),"—")</f>
        <v/>
      </c>
      <c r="J40" s="7">
        <f>IFERROR((I40)*H40,"—")</f>
        <v/>
      </c>
    </row>
    <row r="41" ht="22" customHeight="1">
      <c r="A41" s="5" t="n"/>
      <c r="B41" s="5" t="n"/>
      <c r="C41" s="5" t="n"/>
      <c r="D41" s="5" t="n"/>
      <c r="E41" s="5" t="n"/>
      <c r="F41" s="5" t="n"/>
      <c r="G41" s="6" t="n"/>
      <c r="H41" s="6" t="n"/>
      <c r="I41" s="7">
        <f>IFERROR((IF(E41="Full",IF(D41&lt;=0.5,2190,IF(D41&lt;=1,2628,IF(D41&lt;=2,3030,IF(D41&lt;=5,3480,IF(D41&lt;=10,4800,IF(D41&lt;=20,5800,7200)))))),IF(E41="Flex",3030,0))+C41)/(1-H41-(IF(F41="Verde / MercadoLíder",0.1375,0.12))-G41),"—")</f>
        <v/>
      </c>
      <c r="J41" s="7">
        <f>IFERROR((I41)*H41,"—")</f>
        <v/>
      </c>
    </row>
    <row r="42" ht="22" customHeight="1">
      <c r="A42" s="5" t="n"/>
      <c r="B42" s="5" t="n"/>
      <c r="C42" s="5" t="n"/>
      <c r="D42" s="5" t="n"/>
      <c r="E42" s="5" t="n"/>
      <c r="F42" s="5" t="n"/>
      <c r="G42" s="6" t="n"/>
      <c r="H42" s="6" t="n"/>
      <c r="I42" s="7">
        <f>IFERROR((IF(E42="Full",IF(D42&lt;=0.5,2190,IF(D42&lt;=1,2628,IF(D42&lt;=2,3030,IF(D42&lt;=5,3480,IF(D42&lt;=10,4800,IF(D42&lt;=20,5800,7200)))))),IF(E42="Flex",3030,0))+C42)/(1-H42-(IF(F42="Verde / MercadoLíder",0.1375,0.12))-G42),"—")</f>
        <v/>
      </c>
      <c r="J42" s="7">
        <f>IFERROR((I42)*H42,"—")</f>
        <v/>
      </c>
    </row>
    <row r="43" ht="22" customHeight="1">
      <c r="A43" s="5" t="n"/>
      <c r="B43" s="5" t="n"/>
      <c r="C43" s="5" t="n"/>
      <c r="D43" s="5" t="n"/>
      <c r="E43" s="5" t="n"/>
      <c r="F43" s="5" t="n"/>
      <c r="G43" s="6" t="n"/>
      <c r="H43" s="6" t="n"/>
      <c r="I43" s="7">
        <f>IFERROR((IF(E43="Full",IF(D43&lt;=0.5,2190,IF(D43&lt;=1,2628,IF(D43&lt;=2,3030,IF(D43&lt;=5,3480,IF(D43&lt;=10,4800,IF(D43&lt;=20,5800,7200)))))),IF(E43="Flex",3030,0))+C43)/(1-H43-(IF(F43="Verde / MercadoLíder",0.1375,0.12))-G43),"—")</f>
        <v/>
      </c>
      <c r="J43" s="7">
        <f>IFERROR((I43)*H43,"—")</f>
        <v/>
      </c>
    </row>
    <row r="44" ht="22" customHeight="1">
      <c r="A44" s="5" t="n"/>
      <c r="B44" s="5" t="n"/>
      <c r="C44" s="5" t="n"/>
      <c r="D44" s="5" t="n"/>
      <c r="E44" s="5" t="n"/>
      <c r="F44" s="5" t="n"/>
      <c r="G44" s="6" t="n"/>
      <c r="H44" s="6" t="n"/>
      <c r="I44" s="7">
        <f>IFERROR((IF(E44="Full",IF(D44&lt;=0.5,2190,IF(D44&lt;=1,2628,IF(D44&lt;=2,3030,IF(D44&lt;=5,3480,IF(D44&lt;=10,4800,IF(D44&lt;=20,5800,7200)))))),IF(E44="Flex",3030,0))+C44)/(1-H44-(IF(F44="Verde / MercadoLíder",0.1375,0.12))-G44),"—")</f>
        <v/>
      </c>
      <c r="J44" s="7">
        <f>IFERROR((I44)*H44,"—")</f>
        <v/>
      </c>
    </row>
    <row r="45" ht="22" customHeight="1">
      <c r="A45" s="5" t="n"/>
      <c r="B45" s="5" t="n"/>
      <c r="C45" s="5" t="n"/>
      <c r="D45" s="5" t="n"/>
      <c r="E45" s="5" t="n"/>
      <c r="F45" s="5" t="n"/>
      <c r="G45" s="6" t="n"/>
      <c r="H45" s="6" t="n"/>
      <c r="I45" s="7">
        <f>IFERROR((IF(E45="Full",IF(D45&lt;=0.5,2190,IF(D45&lt;=1,2628,IF(D45&lt;=2,3030,IF(D45&lt;=5,3480,IF(D45&lt;=10,4800,IF(D45&lt;=20,5800,7200)))))),IF(E45="Flex",3030,0))+C45)/(1-H45-(IF(F45="Verde / MercadoLíder",0.1375,0.12))-G45),"—")</f>
        <v/>
      </c>
      <c r="J45" s="7">
        <f>IFERROR((I45)*H45,"—")</f>
        <v/>
      </c>
    </row>
    <row r="46" ht="22" customHeight="1">
      <c r="A46" s="5" t="n"/>
      <c r="B46" s="5" t="n"/>
      <c r="C46" s="5" t="n"/>
      <c r="D46" s="5" t="n"/>
      <c r="E46" s="5" t="n"/>
      <c r="F46" s="5" t="n"/>
      <c r="G46" s="6" t="n"/>
      <c r="H46" s="6" t="n"/>
      <c r="I46" s="7">
        <f>IFERROR((IF(E46="Full",IF(D46&lt;=0.5,2190,IF(D46&lt;=1,2628,IF(D46&lt;=2,3030,IF(D46&lt;=5,3480,IF(D46&lt;=10,4800,IF(D46&lt;=20,5800,7200)))))),IF(E46="Flex",3030,0))+C46)/(1-H46-(IF(F46="Verde / MercadoLíder",0.1375,0.12))-G46),"—")</f>
        <v/>
      </c>
      <c r="J46" s="7">
        <f>IFERROR((I46)*H46,"—")</f>
        <v/>
      </c>
    </row>
    <row r="47" ht="22" customHeight="1">
      <c r="A47" s="5" t="n"/>
      <c r="B47" s="5" t="n"/>
      <c r="C47" s="5" t="n"/>
      <c r="D47" s="5" t="n"/>
      <c r="E47" s="5" t="n"/>
      <c r="F47" s="5" t="n"/>
      <c r="G47" s="6" t="n"/>
      <c r="H47" s="6" t="n"/>
      <c r="I47" s="7">
        <f>IFERROR((IF(E47="Full",IF(D47&lt;=0.5,2190,IF(D47&lt;=1,2628,IF(D47&lt;=2,3030,IF(D47&lt;=5,3480,IF(D47&lt;=10,4800,IF(D47&lt;=20,5800,7200)))))),IF(E47="Flex",3030,0))+C47)/(1-H47-(IF(F47="Verde / MercadoLíder",0.1375,0.12))-G47),"—")</f>
        <v/>
      </c>
      <c r="J47" s="7">
        <f>IFERROR((I47)*H47,"—")</f>
        <v/>
      </c>
    </row>
    <row r="48" ht="22" customHeight="1">
      <c r="A48" s="5" t="n"/>
      <c r="B48" s="5" t="n"/>
      <c r="C48" s="5" t="n"/>
      <c r="D48" s="5" t="n"/>
      <c r="E48" s="5" t="n"/>
      <c r="F48" s="5" t="n"/>
      <c r="G48" s="6" t="n"/>
      <c r="H48" s="6" t="n"/>
      <c r="I48" s="7">
        <f>IFERROR((IF(E48="Full",IF(D48&lt;=0.5,2190,IF(D48&lt;=1,2628,IF(D48&lt;=2,3030,IF(D48&lt;=5,3480,IF(D48&lt;=10,4800,IF(D48&lt;=20,5800,7200)))))),IF(E48="Flex",3030,0))+C48)/(1-H48-(IF(F48="Verde / MercadoLíder",0.1375,0.12))-G48),"—")</f>
        <v/>
      </c>
      <c r="J48" s="7">
        <f>IFERROR((I48)*H48,"—")</f>
        <v/>
      </c>
    </row>
    <row r="49" ht="22" customHeight="1">
      <c r="A49" s="5" t="n"/>
      <c r="B49" s="5" t="n"/>
      <c r="C49" s="5" t="n"/>
      <c r="D49" s="5" t="n"/>
      <c r="E49" s="5" t="n"/>
      <c r="F49" s="5" t="n"/>
      <c r="G49" s="6" t="n"/>
      <c r="H49" s="6" t="n"/>
      <c r="I49" s="7">
        <f>IFERROR((IF(E49="Full",IF(D49&lt;=0.5,2190,IF(D49&lt;=1,2628,IF(D49&lt;=2,3030,IF(D49&lt;=5,3480,IF(D49&lt;=10,4800,IF(D49&lt;=20,5800,7200)))))),IF(E49="Flex",3030,0))+C49)/(1-H49-(IF(F49="Verde / MercadoLíder",0.1375,0.12))-G49),"—")</f>
        <v/>
      </c>
      <c r="J49" s="7">
        <f>IFERROR((I49)*H49,"—")</f>
        <v/>
      </c>
    </row>
    <row r="50" ht="22" customHeight="1">
      <c r="A50" s="5" t="n"/>
      <c r="B50" s="5" t="n"/>
      <c r="C50" s="5" t="n"/>
      <c r="D50" s="5" t="n"/>
      <c r="E50" s="5" t="n"/>
      <c r="F50" s="5" t="n"/>
      <c r="G50" s="6" t="n"/>
      <c r="H50" s="6" t="n"/>
      <c r="I50" s="7">
        <f>IFERROR((IF(E50="Full",IF(D50&lt;=0.5,2190,IF(D50&lt;=1,2628,IF(D50&lt;=2,3030,IF(D50&lt;=5,3480,IF(D50&lt;=10,4800,IF(D50&lt;=20,5800,7200)))))),IF(E50="Flex",3030,0))+C50)/(1-H50-(IF(F50="Verde / MercadoLíder",0.1375,0.12))-G50),"—")</f>
        <v/>
      </c>
      <c r="J50" s="7">
        <f>IFERROR((I50)*H50,"—")</f>
        <v/>
      </c>
    </row>
    <row r="51" ht="22" customHeight="1">
      <c r="A51" s="5" t="n"/>
      <c r="B51" s="5" t="n"/>
      <c r="C51" s="5" t="n"/>
      <c r="D51" s="5" t="n"/>
      <c r="E51" s="5" t="n"/>
      <c r="F51" s="5" t="n"/>
      <c r="G51" s="6" t="n"/>
      <c r="H51" s="6" t="n"/>
      <c r="I51" s="7">
        <f>IFERROR((IF(E51="Full",IF(D51&lt;=0.5,2190,IF(D51&lt;=1,2628,IF(D51&lt;=2,3030,IF(D51&lt;=5,3480,IF(D51&lt;=10,4800,IF(D51&lt;=20,5800,7200)))))),IF(E51="Flex",3030,0))+C51)/(1-H51-(IF(F51="Verde / MercadoLíder",0.1375,0.12))-G51),"—")</f>
        <v/>
      </c>
      <c r="J51" s="7">
        <f>IFERROR((I51)*H51,"—")</f>
        <v/>
      </c>
    </row>
    <row r="52" ht="22" customHeight="1">
      <c r="A52" s="5" t="n"/>
      <c r="B52" s="5" t="n"/>
      <c r="C52" s="5" t="n"/>
      <c r="D52" s="5" t="n"/>
      <c r="E52" s="5" t="n"/>
      <c r="F52" s="5" t="n"/>
      <c r="G52" s="6" t="n"/>
      <c r="H52" s="6" t="n"/>
      <c r="I52" s="7">
        <f>IFERROR((IF(E52="Full",IF(D52&lt;=0.5,2190,IF(D52&lt;=1,2628,IF(D52&lt;=2,3030,IF(D52&lt;=5,3480,IF(D52&lt;=10,4800,IF(D52&lt;=20,5800,7200)))))),IF(E52="Flex",3030,0))+C52)/(1-H52-(IF(F52="Verde / MercadoLíder",0.1375,0.12))-G52),"—")</f>
        <v/>
      </c>
      <c r="J52" s="7">
        <f>IFERROR((I52)*H52,"—")</f>
        <v/>
      </c>
    </row>
    <row r="53" ht="22" customHeight="1">
      <c r="A53" s="5" t="n"/>
      <c r="B53" s="5" t="n"/>
      <c r="C53" s="5" t="n"/>
      <c r="D53" s="5" t="n"/>
      <c r="E53" s="5" t="n"/>
      <c r="F53" s="5" t="n"/>
      <c r="G53" s="6" t="n"/>
      <c r="H53" s="6" t="n"/>
      <c r="I53" s="7">
        <f>IFERROR((IF(E53="Full",IF(D53&lt;=0.5,2190,IF(D53&lt;=1,2628,IF(D53&lt;=2,3030,IF(D53&lt;=5,3480,IF(D53&lt;=10,4800,IF(D53&lt;=20,5800,7200)))))),IF(E53="Flex",3030,0))+C53)/(1-H53-(IF(F53="Verde / MercadoLíder",0.1375,0.12))-G53),"—")</f>
        <v/>
      </c>
      <c r="J53" s="7">
        <f>IFERROR((I53)*H53,"—")</f>
        <v/>
      </c>
    </row>
    <row r="54" ht="22" customHeight="1">
      <c r="A54" s="5" t="n"/>
      <c r="B54" s="5" t="n"/>
      <c r="C54" s="5" t="n"/>
      <c r="D54" s="5" t="n"/>
      <c r="E54" s="5" t="n"/>
      <c r="F54" s="5" t="n"/>
      <c r="G54" s="6" t="n"/>
      <c r="H54" s="6" t="n"/>
      <c r="I54" s="7">
        <f>IFERROR((IF(E54="Full",IF(D54&lt;=0.5,2190,IF(D54&lt;=1,2628,IF(D54&lt;=2,3030,IF(D54&lt;=5,3480,IF(D54&lt;=10,4800,IF(D54&lt;=20,5800,7200)))))),IF(E54="Flex",3030,0))+C54)/(1-H54-(IF(F54="Verde / MercadoLíder",0.1375,0.12))-G54),"—")</f>
        <v/>
      </c>
      <c r="J54" s="7">
        <f>IFERROR((I54)*H54,"—")</f>
        <v/>
      </c>
    </row>
    <row r="55" ht="22" customHeight="1">
      <c r="A55" s="5" t="n"/>
      <c r="B55" s="5" t="n"/>
      <c r="C55" s="5" t="n"/>
      <c r="D55" s="5" t="n"/>
      <c r="E55" s="5" t="n"/>
      <c r="F55" s="5" t="n"/>
      <c r="G55" s="6" t="n"/>
      <c r="H55" s="6" t="n"/>
      <c r="I55" s="7">
        <f>IFERROR((IF(E55="Full",IF(D55&lt;=0.5,2190,IF(D55&lt;=1,2628,IF(D55&lt;=2,3030,IF(D55&lt;=5,3480,IF(D55&lt;=10,4800,IF(D55&lt;=20,5800,7200)))))),IF(E55="Flex",3030,0))+C55)/(1-H55-(IF(F55="Verde / MercadoLíder",0.1375,0.12))-G55),"—")</f>
        <v/>
      </c>
      <c r="J55" s="7">
        <f>IFERROR((I55)*H55,"—")</f>
        <v/>
      </c>
    </row>
    <row r="56" ht="22" customHeight="1">
      <c r="A56" s="5" t="n"/>
      <c r="B56" s="5" t="n"/>
      <c r="C56" s="5" t="n"/>
      <c r="D56" s="5" t="n"/>
      <c r="E56" s="5" t="n"/>
      <c r="F56" s="5" t="n"/>
      <c r="G56" s="6" t="n"/>
      <c r="H56" s="6" t="n"/>
      <c r="I56" s="7">
        <f>IFERROR((IF(E56="Full",IF(D56&lt;=0.5,2190,IF(D56&lt;=1,2628,IF(D56&lt;=2,3030,IF(D56&lt;=5,3480,IF(D56&lt;=10,4800,IF(D56&lt;=20,5800,7200)))))),IF(E56="Flex",3030,0))+C56)/(1-H56-(IF(F56="Verde / MercadoLíder",0.1375,0.12))-G56),"—")</f>
        <v/>
      </c>
      <c r="J56" s="7">
        <f>IFERROR((I56)*H56,"—")</f>
        <v/>
      </c>
    </row>
    <row r="57" ht="22" customHeight="1">
      <c r="A57" s="5" t="n"/>
      <c r="B57" s="5" t="n"/>
      <c r="C57" s="5" t="n"/>
      <c r="D57" s="5" t="n"/>
      <c r="E57" s="5" t="n"/>
      <c r="F57" s="5" t="n"/>
      <c r="G57" s="6" t="n"/>
      <c r="H57" s="6" t="n"/>
      <c r="I57" s="7">
        <f>IFERROR((IF(E57="Full",IF(D57&lt;=0.5,2190,IF(D57&lt;=1,2628,IF(D57&lt;=2,3030,IF(D57&lt;=5,3480,IF(D57&lt;=10,4800,IF(D57&lt;=20,5800,7200)))))),IF(E57="Flex",3030,0))+C57)/(1-H57-(IF(F57="Verde / MercadoLíder",0.1375,0.12))-G57),"—")</f>
        <v/>
      </c>
      <c r="J57" s="7">
        <f>IFERROR((I57)*H57,"—")</f>
        <v/>
      </c>
    </row>
    <row r="58" ht="22" customHeight="1">
      <c r="A58" s="5" t="n"/>
      <c r="B58" s="5" t="n"/>
      <c r="C58" s="5" t="n"/>
      <c r="D58" s="5" t="n"/>
      <c r="E58" s="5" t="n"/>
      <c r="F58" s="5" t="n"/>
      <c r="G58" s="6" t="n"/>
      <c r="H58" s="6" t="n"/>
      <c r="I58" s="7">
        <f>IFERROR((IF(E58="Full",IF(D58&lt;=0.5,2190,IF(D58&lt;=1,2628,IF(D58&lt;=2,3030,IF(D58&lt;=5,3480,IF(D58&lt;=10,4800,IF(D58&lt;=20,5800,7200)))))),IF(E58="Flex",3030,0))+C58)/(1-H58-(IF(F58="Verde / MercadoLíder",0.1375,0.12))-G58),"—")</f>
        <v/>
      </c>
      <c r="J58" s="7">
        <f>IFERROR((I58)*H58,"—")</f>
        <v/>
      </c>
    </row>
    <row r="59" ht="22" customHeight="1">
      <c r="A59" s="5" t="n"/>
      <c r="B59" s="5" t="n"/>
      <c r="C59" s="5" t="n"/>
      <c r="D59" s="5" t="n"/>
      <c r="E59" s="5" t="n"/>
      <c r="F59" s="5" t="n"/>
      <c r="G59" s="6" t="n"/>
      <c r="H59" s="6" t="n"/>
      <c r="I59" s="7">
        <f>IFERROR((IF(E59="Full",IF(D59&lt;=0.5,2190,IF(D59&lt;=1,2628,IF(D59&lt;=2,3030,IF(D59&lt;=5,3480,IF(D59&lt;=10,4800,IF(D59&lt;=20,5800,7200)))))),IF(E59="Flex",3030,0))+C59)/(1-H59-(IF(F59="Verde / MercadoLíder",0.1375,0.12))-G59),"—")</f>
        <v/>
      </c>
      <c r="J59" s="7">
        <f>IFERROR((I59)*H59,"—")</f>
        <v/>
      </c>
    </row>
    <row r="60" ht="22" customHeight="1">
      <c r="A60" s="5" t="n"/>
      <c r="B60" s="5" t="n"/>
      <c r="C60" s="5" t="n"/>
      <c r="D60" s="5" t="n"/>
      <c r="E60" s="5" t="n"/>
      <c r="F60" s="5" t="n"/>
      <c r="G60" s="6" t="n"/>
      <c r="H60" s="6" t="n"/>
      <c r="I60" s="7">
        <f>IFERROR((IF(E60="Full",IF(D60&lt;=0.5,2190,IF(D60&lt;=1,2628,IF(D60&lt;=2,3030,IF(D60&lt;=5,3480,IF(D60&lt;=10,4800,IF(D60&lt;=20,5800,7200)))))),IF(E60="Flex",3030,0))+C60)/(1-H60-(IF(F60="Verde / MercadoLíder",0.1375,0.12))-G60),"—")</f>
        <v/>
      </c>
      <c r="J60" s="7">
        <f>IFERROR((I60)*H60,"—")</f>
        <v/>
      </c>
    </row>
    <row r="61" ht="22" customHeight="1">
      <c r="A61" s="5" t="n"/>
      <c r="B61" s="5" t="n"/>
      <c r="C61" s="5" t="n"/>
      <c r="D61" s="5" t="n"/>
      <c r="E61" s="5" t="n"/>
      <c r="F61" s="5" t="n"/>
      <c r="G61" s="6" t="n"/>
      <c r="H61" s="6" t="n"/>
      <c r="I61" s="7">
        <f>IFERROR((IF(E61="Full",IF(D61&lt;=0.5,2190,IF(D61&lt;=1,2628,IF(D61&lt;=2,3030,IF(D61&lt;=5,3480,IF(D61&lt;=10,4800,IF(D61&lt;=20,5800,7200)))))),IF(E61="Flex",3030,0))+C61)/(1-H61-(IF(F61="Verde / MercadoLíder",0.1375,0.12))-G61),"—")</f>
        <v/>
      </c>
      <c r="J61" s="7">
        <f>IFERROR((I61)*H61,"—")</f>
        <v/>
      </c>
    </row>
    <row r="62" ht="22" customHeight="1">
      <c r="A62" s="5" t="n"/>
      <c r="B62" s="5" t="n"/>
      <c r="C62" s="5" t="n"/>
      <c r="D62" s="5" t="n"/>
      <c r="E62" s="5" t="n"/>
      <c r="F62" s="5" t="n"/>
      <c r="G62" s="6" t="n"/>
      <c r="H62" s="6" t="n"/>
      <c r="I62" s="7">
        <f>IFERROR((IF(E62="Full",IF(D62&lt;=0.5,2190,IF(D62&lt;=1,2628,IF(D62&lt;=2,3030,IF(D62&lt;=5,3480,IF(D62&lt;=10,4800,IF(D62&lt;=20,5800,7200)))))),IF(E62="Flex",3030,0))+C62)/(1-H62-(IF(F62="Verde / MercadoLíder",0.1375,0.12))-G62),"—")</f>
        <v/>
      </c>
      <c r="J62" s="7">
        <f>IFERROR((I62)*H62,"—")</f>
        <v/>
      </c>
    </row>
    <row r="63" ht="22" customHeight="1">
      <c r="A63" s="5" t="n"/>
      <c r="B63" s="5" t="n"/>
      <c r="C63" s="5" t="n"/>
      <c r="D63" s="5" t="n"/>
      <c r="E63" s="5" t="n"/>
      <c r="F63" s="5" t="n"/>
      <c r="G63" s="6" t="n"/>
      <c r="H63" s="6" t="n"/>
      <c r="I63" s="7">
        <f>IFERROR((IF(E63="Full",IF(D63&lt;=0.5,2190,IF(D63&lt;=1,2628,IF(D63&lt;=2,3030,IF(D63&lt;=5,3480,IF(D63&lt;=10,4800,IF(D63&lt;=20,5800,7200)))))),IF(E63="Flex",3030,0))+C63)/(1-H63-(IF(F63="Verde / MercadoLíder",0.1375,0.12))-G63),"—")</f>
        <v/>
      </c>
      <c r="J63" s="7">
        <f>IFERROR((I63)*H63,"—")</f>
        <v/>
      </c>
    </row>
    <row r="64" ht="22" customHeight="1">
      <c r="A64" s="5" t="n"/>
      <c r="B64" s="5" t="n"/>
      <c r="C64" s="5" t="n"/>
      <c r="D64" s="5" t="n"/>
      <c r="E64" s="5" t="n"/>
      <c r="F64" s="5" t="n"/>
      <c r="G64" s="6" t="n"/>
      <c r="H64" s="6" t="n"/>
      <c r="I64" s="7">
        <f>IFERROR((IF(E64="Full",IF(D64&lt;=0.5,2190,IF(D64&lt;=1,2628,IF(D64&lt;=2,3030,IF(D64&lt;=5,3480,IF(D64&lt;=10,4800,IF(D64&lt;=20,5800,7200)))))),IF(E64="Flex",3030,0))+C64)/(1-H64-(IF(F64="Verde / MercadoLíder",0.1375,0.12))-G64),"—")</f>
        <v/>
      </c>
      <c r="J64" s="7">
        <f>IFERROR((I64)*H64,"—")</f>
        <v/>
      </c>
    </row>
    <row r="65" ht="22" customHeight="1">
      <c r="A65" s="5" t="n"/>
      <c r="B65" s="5" t="n"/>
      <c r="C65" s="5" t="n"/>
      <c r="D65" s="5" t="n"/>
      <c r="E65" s="5" t="n"/>
      <c r="F65" s="5" t="n"/>
      <c r="G65" s="6" t="n"/>
      <c r="H65" s="6" t="n"/>
      <c r="I65" s="7">
        <f>IFERROR((IF(E65="Full",IF(D65&lt;=0.5,2190,IF(D65&lt;=1,2628,IF(D65&lt;=2,3030,IF(D65&lt;=5,3480,IF(D65&lt;=10,4800,IF(D65&lt;=20,5800,7200)))))),IF(E65="Flex",3030,0))+C65)/(1-H65-(IF(F65="Verde / MercadoLíder",0.1375,0.12))-G65),"—")</f>
        <v/>
      </c>
      <c r="J65" s="7">
        <f>IFERROR((I65)*H65,"—")</f>
        <v/>
      </c>
    </row>
    <row r="66" ht="22" customHeight="1">
      <c r="A66" s="5" t="n"/>
      <c r="B66" s="5" t="n"/>
      <c r="C66" s="5" t="n"/>
      <c r="D66" s="5" t="n"/>
      <c r="E66" s="5" t="n"/>
      <c r="F66" s="5" t="n"/>
      <c r="G66" s="6" t="n"/>
      <c r="H66" s="6" t="n"/>
      <c r="I66" s="7">
        <f>IFERROR((IF(E66="Full",IF(D66&lt;=0.5,2190,IF(D66&lt;=1,2628,IF(D66&lt;=2,3030,IF(D66&lt;=5,3480,IF(D66&lt;=10,4800,IF(D66&lt;=20,5800,7200)))))),IF(E66="Flex",3030,0))+C66)/(1-H66-(IF(F66="Verde / MercadoLíder",0.1375,0.12))-G66),"—")</f>
        <v/>
      </c>
      <c r="J66" s="7">
        <f>IFERROR((I66)*H66,"—")</f>
        <v/>
      </c>
    </row>
    <row r="67" ht="22" customHeight="1">
      <c r="A67" s="5" t="n"/>
      <c r="B67" s="5" t="n"/>
      <c r="C67" s="5" t="n"/>
      <c r="D67" s="5" t="n"/>
      <c r="E67" s="5" t="n"/>
      <c r="F67" s="5" t="n"/>
      <c r="G67" s="6" t="n"/>
      <c r="H67" s="6" t="n"/>
      <c r="I67" s="7">
        <f>IFERROR((IF(E67="Full",IF(D67&lt;=0.5,2190,IF(D67&lt;=1,2628,IF(D67&lt;=2,3030,IF(D67&lt;=5,3480,IF(D67&lt;=10,4800,IF(D67&lt;=20,5800,7200)))))),IF(E67="Flex",3030,0))+C67)/(1-H67-(IF(F67="Verde / MercadoLíder",0.1375,0.12))-G67),"—")</f>
        <v/>
      </c>
      <c r="J67" s="7">
        <f>IFERROR((I67)*H67,"—")</f>
        <v/>
      </c>
    </row>
    <row r="68" ht="22" customHeight="1">
      <c r="A68" s="5" t="n"/>
      <c r="B68" s="5" t="n"/>
      <c r="C68" s="5" t="n"/>
      <c r="D68" s="5" t="n"/>
      <c r="E68" s="5" t="n"/>
      <c r="F68" s="5" t="n"/>
      <c r="G68" s="6" t="n"/>
      <c r="H68" s="6" t="n"/>
      <c r="I68" s="7">
        <f>IFERROR((IF(E68="Full",IF(D68&lt;=0.5,2190,IF(D68&lt;=1,2628,IF(D68&lt;=2,3030,IF(D68&lt;=5,3480,IF(D68&lt;=10,4800,IF(D68&lt;=20,5800,7200)))))),IF(E68="Flex",3030,0))+C68)/(1-H68-(IF(F68="Verde / MercadoLíder",0.1375,0.12))-G68),"—")</f>
        <v/>
      </c>
      <c r="J68" s="7">
        <f>IFERROR((I68)*H68,"—")</f>
        <v/>
      </c>
    </row>
    <row r="69" ht="22" customHeight="1">
      <c r="A69" s="5" t="n"/>
      <c r="B69" s="5" t="n"/>
      <c r="C69" s="5" t="n"/>
      <c r="D69" s="5" t="n"/>
      <c r="E69" s="5" t="n"/>
      <c r="F69" s="5" t="n"/>
      <c r="G69" s="6" t="n"/>
      <c r="H69" s="6" t="n"/>
      <c r="I69" s="7">
        <f>IFERROR((IF(E69="Full",IF(D69&lt;=0.5,2190,IF(D69&lt;=1,2628,IF(D69&lt;=2,3030,IF(D69&lt;=5,3480,IF(D69&lt;=10,4800,IF(D69&lt;=20,5800,7200)))))),IF(E69="Flex",3030,0))+C69)/(1-H69-(IF(F69="Verde / MercadoLíder",0.1375,0.12))-G69),"—")</f>
        <v/>
      </c>
      <c r="J69" s="7">
        <f>IFERROR((I69)*H69,"—")</f>
        <v/>
      </c>
    </row>
    <row r="70" ht="22" customHeight="1">
      <c r="A70" s="5" t="n"/>
      <c r="B70" s="5" t="n"/>
      <c r="C70" s="5" t="n"/>
      <c r="D70" s="5" t="n"/>
      <c r="E70" s="5" t="n"/>
      <c r="F70" s="5" t="n"/>
      <c r="G70" s="6" t="n"/>
      <c r="H70" s="6" t="n"/>
      <c r="I70" s="7">
        <f>IFERROR((IF(E70="Full",IF(D70&lt;=0.5,2190,IF(D70&lt;=1,2628,IF(D70&lt;=2,3030,IF(D70&lt;=5,3480,IF(D70&lt;=10,4800,IF(D70&lt;=20,5800,7200)))))),IF(E70="Flex",3030,0))+C70)/(1-H70-(IF(F70="Verde / MercadoLíder",0.1375,0.12))-G70),"—")</f>
        <v/>
      </c>
      <c r="J70" s="7">
        <f>IFERROR((I70)*H70,"—")</f>
        <v/>
      </c>
    </row>
    <row r="71" ht="22" customHeight="1">
      <c r="A71" s="5" t="n"/>
      <c r="B71" s="5" t="n"/>
      <c r="C71" s="5" t="n"/>
      <c r="D71" s="5" t="n"/>
      <c r="E71" s="5" t="n"/>
      <c r="F71" s="5" t="n"/>
      <c r="G71" s="6" t="n"/>
      <c r="H71" s="6" t="n"/>
      <c r="I71" s="7">
        <f>IFERROR((IF(E71="Full",IF(D71&lt;=0.5,2190,IF(D71&lt;=1,2628,IF(D71&lt;=2,3030,IF(D71&lt;=5,3480,IF(D71&lt;=10,4800,IF(D71&lt;=20,5800,7200)))))),IF(E71="Flex",3030,0))+C71)/(1-H71-(IF(F71="Verde / MercadoLíder",0.1375,0.12))-G71),"—")</f>
        <v/>
      </c>
      <c r="J71" s="7">
        <f>IFERROR((I71)*H71,"—")</f>
        <v/>
      </c>
    </row>
    <row r="72" ht="22" customHeight="1">
      <c r="A72" s="5" t="n"/>
      <c r="B72" s="5" t="n"/>
      <c r="C72" s="5" t="n"/>
      <c r="D72" s="5" t="n"/>
      <c r="E72" s="5" t="n"/>
      <c r="F72" s="5" t="n"/>
      <c r="G72" s="6" t="n"/>
      <c r="H72" s="6" t="n"/>
      <c r="I72" s="7">
        <f>IFERROR((IF(E72="Full",IF(D72&lt;=0.5,2190,IF(D72&lt;=1,2628,IF(D72&lt;=2,3030,IF(D72&lt;=5,3480,IF(D72&lt;=10,4800,IF(D72&lt;=20,5800,7200)))))),IF(E72="Flex",3030,0))+C72)/(1-H72-(IF(F72="Verde / MercadoLíder",0.1375,0.12))-G72),"—")</f>
        <v/>
      </c>
      <c r="J72" s="7">
        <f>IFERROR((I72)*H72,"—")</f>
        <v/>
      </c>
    </row>
    <row r="73" ht="22" customHeight="1">
      <c r="A73" s="5" t="n"/>
      <c r="B73" s="5" t="n"/>
      <c r="C73" s="5" t="n"/>
      <c r="D73" s="5" t="n"/>
      <c r="E73" s="5" t="n"/>
      <c r="F73" s="5" t="n"/>
      <c r="G73" s="6" t="n"/>
      <c r="H73" s="6" t="n"/>
      <c r="I73" s="7">
        <f>IFERROR((IF(E73="Full",IF(D73&lt;=0.5,2190,IF(D73&lt;=1,2628,IF(D73&lt;=2,3030,IF(D73&lt;=5,3480,IF(D73&lt;=10,4800,IF(D73&lt;=20,5800,7200)))))),IF(E73="Flex",3030,0))+C73)/(1-H73-(IF(F73="Verde / MercadoLíder",0.1375,0.12))-G73),"—")</f>
        <v/>
      </c>
      <c r="J73" s="7">
        <f>IFERROR((I73)*H73,"—")</f>
        <v/>
      </c>
    </row>
    <row r="74" ht="22" customHeight="1">
      <c r="A74" s="5" t="n"/>
      <c r="B74" s="5" t="n"/>
      <c r="C74" s="5" t="n"/>
      <c r="D74" s="5" t="n"/>
      <c r="E74" s="5" t="n"/>
      <c r="F74" s="5" t="n"/>
      <c r="G74" s="6" t="n"/>
      <c r="H74" s="6" t="n"/>
      <c r="I74" s="7">
        <f>IFERROR((IF(E74="Full",IF(D74&lt;=0.5,2190,IF(D74&lt;=1,2628,IF(D74&lt;=2,3030,IF(D74&lt;=5,3480,IF(D74&lt;=10,4800,IF(D74&lt;=20,5800,7200)))))),IF(E74="Flex",3030,0))+C74)/(1-H74-(IF(F74="Verde / MercadoLíder",0.1375,0.12))-G74),"—")</f>
        <v/>
      </c>
      <c r="J74" s="7">
        <f>IFERROR((I74)*H74,"—")</f>
        <v/>
      </c>
    </row>
    <row r="75" ht="22" customHeight="1">
      <c r="A75" s="5" t="n"/>
      <c r="B75" s="5" t="n"/>
      <c r="C75" s="5" t="n"/>
      <c r="D75" s="5" t="n"/>
      <c r="E75" s="5" t="n"/>
      <c r="F75" s="5" t="n"/>
      <c r="G75" s="6" t="n"/>
      <c r="H75" s="6" t="n"/>
      <c r="I75" s="7">
        <f>IFERROR((IF(E75="Full",IF(D75&lt;=0.5,2190,IF(D75&lt;=1,2628,IF(D75&lt;=2,3030,IF(D75&lt;=5,3480,IF(D75&lt;=10,4800,IF(D75&lt;=20,5800,7200)))))),IF(E75="Flex",3030,0))+C75)/(1-H75-(IF(F75="Verde / MercadoLíder",0.1375,0.12))-G75),"—")</f>
        <v/>
      </c>
      <c r="J75" s="7">
        <f>IFERROR((I75)*H75,"—")</f>
        <v/>
      </c>
    </row>
    <row r="76" ht="22" customHeight="1">
      <c r="A76" s="5" t="n"/>
      <c r="B76" s="5" t="n"/>
      <c r="C76" s="5" t="n"/>
      <c r="D76" s="5" t="n"/>
      <c r="E76" s="5" t="n"/>
      <c r="F76" s="5" t="n"/>
      <c r="G76" s="6" t="n"/>
      <c r="H76" s="6" t="n"/>
      <c r="I76" s="7">
        <f>IFERROR((IF(E76="Full",IF(D76&lt;=0.5,2190,IF(D76&lt;=1,2628,IF(D76&lt;=2,3030,IF(D76&lt;=5,3480,IF(D76&lt;=10,4800,IF(D76&lt;=20,5800,7200)))))),IF(E76="Flex",3030,0))+C76)/(1-H76-(IF(F76="Verde / MercadoLíder",0.1375,0.12))-G76),"—")</f>
        <v/>
      </c>
      <c r="J76" s="7">
        <f>IFERROR((I76)*H76,"—")</f>
        <v/>
      </c>
    </row>
    <row r="77" ht="22" customHeight="1">
      <c r="A77" s="5" t="n"/>
      <c r="B77" s="5" t="n"/>
      <c r="C77" s="5" t="n"/>
      <c r="D77" s="5" t="n"/>
      <c r="E77" s="5" t="n"/>
      <c r="F77" s="5" t="n"/>
      <c r="G77" s="6" t="n"/>
      <c r="H77" s="6" t="n"/>
      <c r="I77" s="7">
        <f>IFERROR((IF(E77="Full",IF(D77&lt;=0.5,2190,IF(D77&lt;=1,2628,IF(D77&lt;=2,3030,IF(D77&lt;=5,3480,IF(D77&lt;=10,4800,IF(D77&lt;=20,5800,7200)))))),IF(E77="Flex",3030,0))+C77)/(1-H77-(IF(F77="Verde / MercadoLíder",0.1375,0.12))-G77),"—")</f>
        <v/>
      </c>
      <c r="J77" s="7">
        <f>IFERROR((I77)*H77,"—")</f>
        <v/>
      </c>
    </row>
    <row r="78" ht="22" customHeight="1">
      <c r="A78" s="5" t="n"/>
      <c r="B78" s="5" t="n"/>
      <c r="C78" s="5" t="n"/>
      <c r="D78" s="5" t="n"/>
      <c r="E78" s="5" t="n"/>
      <c r="F78" s="5" t="n"/>
      <c r="G78" s="6" t="n"/>
      <c r="H78" s="6" t="n"/>
      <c r="I78" s="7">
        <f>IFERROR((IF(E78="Full",IF(D78&lt;=0.5,2190,IF(D78&lt;=1,2628,IF(D78&lt;=2,3030,IF(D78&lt;=5,3480,IF(D78&lt;=10,4800,IF(D78&lt;=20,5800,7200)))))),IF(E78="Flex",3030,0))+C78)/(1-H78-(IF(F78="Verde / MercadoLíder",0.1375,0.12))-G78),"—")</f>
        <v/>
      </c>
      <c r="J78" s="7">
        <f>IFERROR((I78)*H78,"—")</f>
        <v/>
      </c>
    </row>
    <row r="79" ht="22" customHeight="1">
      <c r="A79" s="5" t="n"/>
      <c r="B79" s="5" t="n"/>
      <c r="C79" s="5" t="n"/>
      <c r="D79" s="5" t="n"/>
      <c r="E79" s="5" t="n"/>
      <c r="F79" s="5" t="n"/>
      <c r="G79" s="6" t="n"/>
      <c r="H79" s="6" t="n"/>
      <c r="I79" s="7">
        <f>IFERROR((IF(E79="Full",IF(D79&lt;=0.5,2190,IF(D79&lt;=1,2628,IF(D79&lt;=2,3030,IF(D79&lt;=5,3480,IF(D79&lt;=10,4800,IF(D79&lt;=20,5800,7200)))))),IF(E79="Flex",3030,0))+C79)/(1-H79-(IF(F79="Verde / MercadoLíder",0.1375,0.12))-G79),"—")</f>
        <v/>
      </c>
      <c r="J79" s="7">
        <f>IFERROR((I79)*H79,"—")</f>
        <v/>
      </c>
    </row>
    <row r="80" ht="22" customHeight="1">
      <c r="A80" s="5" t="n"/>
      <c r="B80" s="5" t="n"/>
      <c r="C80" s="5" t="n"/>
      <c r="D80" s="5" t="n"/>
      <c r="E80" s="5" t="n"/>
      <c r="F80" s="5" t="n"/>
      <c r="G80" s="6" t="n"/>
      <c r="H80" s="6" t="n"/>
      <c r="I80" s="7">
        <f>IFERROR((IF(E80="Full",IF(D80&lt;=0.5,2190,IF(D80&lt;=1,2628,IF(D80&lt;=2,3030,IF(D80&lt;=5,3480,IF(D80&lt;=10,4800,IF(D80&lt;=20,5800,7200)))))),IF(E80="Flex",3030,0))+C80)/(1-H80-(IF(F80="Verde / MercadoLíder",0.1375,0.12))-G80),"—")</f>
        <v/>
      </c>
      <c r="J80" s="7">
        <f>IFERROR((I80)*H80,"—")</f>
        <v/>
      </c>
    </row>
    <row r="81" ht="22" customHeight="1">
      <c r="A81" s="5" t="n"/>
      <c r="B81" s="5" t="n"/>
      <c r="C81" s="5" t="n"/>
      <c r="D81" s="5" t="n"/>
      <c r="E81" s="5" t="n"/>
      <c r="F81" s="5" t="n"/>
      <c r="G81" s="6" t="n"/>
      <c r="H81" s="6" t="n"/>
      <c r="I81" s="7">
        <f>IFERROR((IF(E81="Full",IF(D81&lt;=0.5,2190,IF(D81&lt;=1,2628,IF(D81&lt;=2,3030,IF(D81&lt;=5,3480,IF(D81&lt;=10,4800,IF(D81&lt;=20,5800,7200)))))),IF(E81="Flex",3030,0))+C81)/(1-H81-(IF(F81="Verde / MercadoLíder",0.1375,0.12))-G81),"—")</f>
        <v/>
      </c>
      <c r="J81" s="7">
        <f>IFERROR((I81)*H81,"—")</f>
        <v/>
      </c>
    </row>
    <row r="82" ht="22" customHeight="1">
      <c r="A82" s="5" t="n"/>
      <c r="B82" s="5" t="n"/>
      <c r="C82" s="5" t="n"/>
      <c r="D82" s="5" t="n"/>
      <c r="E82" s="5" t="n"/>
      <c r="F82" s="5" t="n"/>
      <c r="G82" s="6" t="n"/>
      <c r="H82" s="6" t="n"/>
      <c r="I82" s="7">
        <f>IFERROR((IF(E82="Full",IF(D82&lt;=0.5,2190,IF(D82&lt;=1,2628,IF(D82&lt;=2,3030,IF(D82&lt;=5,3480,IF(D82&lt;=10,4800,IF(D82&lt;=20,5800,7200)))))),IF(E82="Flex",3030,0))+C82)/(1-H82-(IF(F82="Verde / MercadoLíder",0.1375,0.12))-G82),"—")</f>
        <v/>
      </c>
      <c r="J82" s="7">
        <f>IFERROR((I82)*H82,"—")</f>
        <v/>
      </c>
    </row>
    <row r="83" ht="22" customHeight="1">
      <c r="A83" s="5" t="n"/>
      <c r="B83" s="5" t="n"/>
      <c r="C83" s="5" t="n"/>
      <c r="D83" s="5" t="n"/>
      <c r="E83" s="5" t="n"/>
      <c r="F83" s="5" t="n"/>
      <c r="G83" s="6" t="n"/>
      <c r="H83" s="6" t="n"/>
      <c r="I83" s="7">
        <f>IFERROR((IF(E83="Full",IF(D83&lt;=0.5,2190,IF(D83&lt;=1,2628,IF(D83&lt;=2,3030,IF(D83&lt;=5,3480,IF(D83&lt;=10,4800,IF(D83&lt;=20,5800,7200)))))),IF(E83="Flex",3030,0))+C83)/(1-H83-(IF(F83="Verde / MercadoLíder",0.1375,0.12))-G83),"—")</f>
        <v/>
      </c>
      <c r="J83" s="7">
        <f>IFERROR((I83)*H83,"—")</f>
        <v/>
      </c>
    </row>
    <row r="84" ht="22" customHeight="1">
      <c r="A84" s="5" t="n"/>
      <c r="B84" s="5" t="n"/>
      <c r="C84" s="5" t="n"/>
      <c r="D84" s="5" t="n"/>
      <c r="E84" s="5" t="n"/>
      <c r="F84" s="5" t="n"/>
      <c r="G84" s="6" t="n"/>
      <c r="H84" s="6" t="n"/>
      <c r="I84" s="7">
        <f>IFERROR((IF(E84="Full",IF(D84&lt;=0.5,2190,IF(D84&lt;=1,2628,IF(D84&lt;=2,3030,IF(D84&lt;=5,3480,IF(D84&lt;=10,4800,IF(D84&lt;=20,5800,7200)))))),IF(E84="Flex",3030,0))+C84)/(1-H84-(IF(F84="Verde / MercadoLíder",0.1375,0.12))-G84),"—")</f>
        <v/>
      </c>
      <c r="J84" s="7">
        <f>IFERROR((I84)*H84,"—")</f>
        <v/>
      </c>
    </row>
    <row r="85" ht="22" customHeight="1">
      <c r="A85" s="5" t="n"/>
      <c r="B85" s="5" t="n"/>
      <c r="C85" s="5" t="n"/>
      <c r="D85" s="5" t="n"/>
      <c r="E85" s="5" t="n"/>
      <c r="F85" s="5" t="n"/>
      <c r="G85" s="6" t="n"/>
      <c r="H85" s="6" t="n"/>
      <c r="I85" s="7">
        <f>IFERROR((IF(E85="Full",IF(D85&lt;=0.5,2190,IF(D85&lt;=1,2628,IF(D85&lt;=2,3030,IF(D85&lt;=5,3480,IF(D85&lt;=10,4800,IF(D85&lt;=20,5800,7200)))))),IF(E85="Flex",3030,0))+C85)/(1-H85-(IF(F85="Verde / MercadoLíder",0.1375,0.12))-G85),"—")</f>
        <v/>
      </c>
      <c r="J85" s="7">
        <f>IFERROR((I85)*H85,"—")</f>
        <v/>
      </c>
    </row>
    <row r="86" ht="22" customHeight="1">
      <c r="A86" s="5" t="n"/>
      <c r="B86" s="5" t="n"/>
      <c r="C86" s="5" t="n"/>
      <c r="D86" s="5" t="n"/>
      <c r="E86" s="5" t="n"/>
      <c r="F86" s="5" t="n"/>
      <c r="G86" s="6" t="n"/>
      <c r="H86" s="6" t="n"/>
      <c r="I86" s="7">
        <f>IFERROR((IF(E86="Full",IF(D86&lt;=0.5,2190,IF(D86&lt;=1,2628,IF(D86&lt;=2,3030,IF(D86&lt;=5,3480,IF(D86&lt;=10,4800,IF(D86&lt;=20,5800,7200)))))),IF(E86="Flex",3030,0))+C86)/(1-H86-(IF(F86="Verde / MercadoLíder",0.1375,0.12))-G86),"—")</f>
        <v/>
      </c>
      <c r="J86" s="7">
        <f>IFERROR((I86)*H86,"—")</f>
        <v/>
      </c>
    </row>
    <row r="87" ht="22" customHeight="1">
      <c r="A87" s="5" t="n"/>
      <c r="B87" s="5" t="n"/>
      <c r="C87" s="5" t="n"/>
      <c r="D87" s="5" t="n"/>
      <c r="E87" s="5" t="n"/>
      <c r="F87" s="5" t="n"/>
      <c r="G87" s="6" t="n"/>
      <c r="H87" s="6" t="n"/>
      <c r="I87" s="7">
        <f>IFERROR((IF(E87="Full",IF(D87&lt;=0.5,2190,IF(D87&lt;=1,2628,IF(D87&lt;=2,3030,IF(D87&lt;=5,3480,IF(D87&lt;=10,4800,IF(D87&lt;=20,5800,7200)))))),IF(E87="Flex",3030,0))+C87)/(1-H87-(IF(F87="Verde / MercadoLíder",0.1375,0.12))-G87),"—")</f>
        <v/>
      </c>
      <c r="J87" s="7">
        <f>IFERROR((I87)*H87,"—")</f>
        <v/>
      </c>
    </row>
    <row r="88" ht="22" customHeight="1">
      <c r="A88" s="5" t="n"/>
      <c r="B88" s="5" t="n"/>
      <c r="C88" s="5" t="n"/>
      <c r="D88" s="5" t="n"/>
      <c r="E88" s="5" t="n"/>
      <c r="F88" s="5" t="n"/>
      <c r="G88" s="6" t="n"/>
      <c r="H88" s="6" t="n"/>
      <c r="I88" s="7">
        <f>IFERROR((IF(E88="Full",IF(D88&lt;=0.5,2190,IF(D88&lt;=1,2628,IF(D88&lt;=2,3030,IF(D88&lt;=5,3480,IF(D88&lt;=10,4800,IF(D88&lt;=20,5800,7200)))))),IF(E88="Flex",3030,0))+C88)/(1-H88-(IF(F88="Verde / MercadoLíder",0.1375,0.12))-G88),"—")</f>
        <v/>
      </c>
      <c r="J88" s="7">
        <f>IFERROR((I88)*H88,"—")</f>
        <v/>
      </c>
    </row>
    <row r="89" ht="22" customHeight="1">
      <c r="A89" s="5" t="n"/>
      <c r="B89" s="5" t="n"/>
      <c r="C89" s="5" t="n"/>
      <c r="D89" s="5" t="n"/>
      <c r="E89" s="5" t="n"/>
      <c r="F89" s="5" t="n"/>
      <c r="G89" s="6" t="n"/>
      <c r="H89" s="6" t="n"/>
      <c r="I89" s="7">
        <f>IFERROR((IF(E89="Full",IF(D89&lt;=0.5,2190,IF(D89&lt;=1,2628,IF(D89&lt;=2,3030,IF(D89&lt;=5,3480,IF(D89&lt;=10,4800,IF(D89&lt;=20,5800,7200)))))),IF(E89="Flex",3030,0))+C89)/(1-H89-(IF(F89="Verde / MercadoLíder",0.1375,0.12))-G89),"—")</f>
        <v/>
      </c>
      <c r="J89" s="7">
        <f>IFERROR((I89)*H89,"—")</f>
        <v/>
      </c>
    </row>
    <row r="90" ht="22" customHeight="1">
      <c r="A90" s="5" t="n"/>
      <c r="B90" s="5" t="n"/>
      <c r="C90" s="5" t="n"/>
      <c r="D90" s="5" t="n"/>
      <c r="E90" s="5" t="n"/>
      <c r="F90" s="5" t="n"/>
      <c r="G90" s="6" t="n"/>
      <c r="H90" s="6" t="n"/>
      <c r="I90" s="7">
        <f>IFERROR((IF(E90="Full",IF(D90&lt;=0.5,2190,IF(D90&lt;=1,2628,IF(D90&lt;=2,3030,IF(D90&lt;=5,3480,IF(D90&lt;=10,4800,IF(D90&lt;=20,5800,7200)))))),IF(E90="Flex",3030,0))+C90)/(1-H90-(IF(F90="Verde / MercadoLíder",0.1375,0.12))-G90),"—")</f>
        <v/>
      </c>
      <c r="J90" s="7">
        <f>IFERROR((I90)*H90,"—")</f>
        <v/>
      </c>
    </row>
    <row r="91" ht="22" customHeight="1">
      <c r="A91" s="5" t="n"/>
      <c r="B91" s="5" t="n"/>
      <c r="C91" s="5" t="n"/>
      <c r="D91" s="5" t="n"/>
      <c r="E91" s="5" t="n"/>
      <c r="F91" s="5" t="n"/>
      <c r="G91" s="6" t="n"/>
      <c r="H91" s="6" t="n"/>
      <c r="I91" s="7">
        <f>IFERROR((IF(E91="Full",IF(D91&lt;=0.5,2190,IF(D91&lt;=1,2628,IF(D91&lt;=2,3030,IF(D91&lt;=5,3480,IF(D91&lt;=10,4800,IF(D91&lt;=20,5800,7200)))))),IF(E91="Flex",3030,0))+C91)/(1-H91-(IF(F91="Verde / MercadoLíder",0.1375,0.12))-G91),"—")</f>
        <v/>
      </c>
      <c r="J91" s="7">
        <f>IFERROR((I91)*H91,"—")</f>
        <v/>
      </c>
    </row>
    <row r="92" ht="22" customHeight="1">
      <c r="A92" s="5" t="n"/>
      <c r="B92" s="5" t="n"/>
      <c r="C92" s="5" t="n"/>
      <c r="D92" s="5" t="n"/>
      <c r="E92" s="5" t="n"/>
      <c r="F92" s="5" t="n"/>
      <c r="G92" s="6" t="n"/>
      <c r="H92" s="6" t="n"/>
      <c r="I92" s="7">
        <f>IFERROR((IF(E92="Full",IF(D92&lt;=0.5,2190,IF(D92&lt;=1,2628,IF(D92&lt;=2,3030,IF(D92&lt;=5,3480,IF(D92&lt;=10,4800,IF(D92&lt;=20,5800,7200)))))),IF(E92="Flex",3030,0))+C92)/(1-H92-(IF(F92="Verde / MercadoLíder",0.1375,0.12))-G92),"—")</f>
        <v/>
      </c>
      <c r="J92" s="7">
        <f>IFERROR((I92)*H92,"—")</f>
        <v/>
      </c>
    </row>
    <row r="93" ht="22" customHeight="1">
      <c r="A93" s="5" t="n"/>
      <c r="B93" s="5" t="n"/>
      <c r="C93" s="5" t="n"/>
      <c r="D93" s="5" t="n"/>
      <c r="E93" s="5" t="n"/>
      <c r="F93" s="5" t="n"/>
      <c r="G93" s="6" t="n"/>
      <c r="H93" s="6" t="n"/>
      <c r="I93" s="7">
        <f>IFERROR((IF(E93="Full",IF(D93&lt;=0.5,2190,IF(D93&lt;=1,2628,IF(D93&lt;=2,3030,IF(D93&lt;=5,3480,IF(D93&lt;=10,4800,IF(D93&lt;=20,5800,7200)))))),IF(E93="Flex",3030,0))+C93)/(1-H93-(IF(F93="Verde / MercadoLíder",0.1375,0.12))-G93),"—")</f>
        <v/>
      </c>
      <c r="J93" s="7">
        <f>IFERROR((I93)*H93,"—")</f>
        <v/>
      </c>
    </row>
    <row r="94" ht="22" customHeight="1">
      <c r="A94" s="5" t="n"/>
      <c r="B94" s="5" t="n"/>
      <c r="C94" s="5" t="n"/>
      <c r="D94" s="5" t="n"/>
      <c r="E94" s="5" t="n"/>
      <c r="F94" s="5" t="n"/>
      <c r="G94" s="6" t="n"/>
      <c r="H94" s="6" t="n"/>
      <c r="I94" s="7">
        <f>IFERROR((IF(E94="Full",IF(D94&lt;=0.5,2190,IF(D94&lt;=1,2628,IF(D94&lt;=2,3030,IF(D94&lt;=5,3480,IF(D94&lt;=10,4800,IF(D94&lt;=20,5800,7200)))))),IF(E94="Flex",3030,0))+C94)/(1-H94-(IF(F94="Verde / MercadoLíder",0.1375,0.12))-G94),"—")</f>
        <v/>
      </c>
      <c r="J94" s="7">
        <f>IFERROR((I94)*H94,"—")</f>
        <v/>
      </c>
    </row>
    <row r="95" ht="22" customHeight="1">
      <c r="A95" s="5" t="n"/>
      <c r="B95" s="5" t="n"/>
      <c r="C95" s="5" t="n"/>
      <c r="D95" s="5" t="n"/>
      <c r="E95" s="5" t="n"/>
      <c r="F95" s="5" t="n"/>
      <c r="G95" s="6" t="n"/>
      <c r="H95" s="6" t="n"/>
      <c r="I95" s="7">
        <f>IFERROR((IF(E95="Full",IF(D95&lt;=0.5,2190,IF(D95&lt;=1,2628,IF(D95&lt;=2,3030,IF(D95&lt;=5,3480,IF(D95&lt;=10,4800,IF(D95&lt;=20,5800,7200)))))),IF(E95="Flex",3030,0))+C95)/(1-H95-(IF(F95="Verde / MercadoLíder",0.1375,0.12))-G95),"—")</f>
        <v/>
      </c>
      <c r="J95" s="7">
        <f>IFERROR((I95)*H95,"—")</f>
        <v/>
      </c>
    </row>
    <row r="96" ht="22" customHeight="1">
      <c r="A96" s="5" t="n"/>
      <c r="B96" s="5" t="n"/>
      <c r="C96" s="5" t="n"/>
      <c r="D96" s="5" t="n"/>
      <c r="E96" s="5" t="n"/>
      <c r="F96" s="5" t="n"/>
      <c r="G96" s="6" t="n"/>
      <c r="H96" s="6" t="n"/>
      <c r="I96" s="7">
        <f>IFERROR((IF(E96="Full",IF(D96&lt;=0.5,2190,IF(D96&lt;=1,2628,IF(D96&lt;=2,3030,IF(D96&lt;=5,3480,IF(D96&lt;=10,4800,IF(D96&lt;=20,5800,7200)))))),IF(E96="Flex",3030,0))+C96)/(1-H96-(IF(F96="Verde / MercadoLíder",0.1375,0.12))-G96),"—")</f>
        <v/>
      </c>
      <c r="J96" s="7">
        <f>IFERROR((I96)*H96,"—")</f>
        <v/>
      </c>
    </row>
    <row r="97" ht="22" customHeight="1">
      <c r="A97" s="5" t="n"/>
      <c r="B97" s="5" t="n"/>
      <c r="C97" s="5" t="n"/>
      <c r="D97" s="5" t="n"/>
      <c r="E97" s="5" t="n"/>
      <c r="F97" s="5" t="n"/>
      <c r="G97" s="6" t="n"/>
      <c r="H97" s="6" t="n"/>
      <c r="I97" s="7">
        <f>IFERROR((IF(E97="Full",IF(D97&lt;=0.5,2190,IF(D97&lt;=1,2628,IF(D97&lt;=2,3030,IF(D97&lt;=5,3480,IF(D97&lt;=10,4800,IF(D97&lt;=20,5800,7200)))))),IF(E97="Flex",3030,0))+C97)/(1-H97-(IF(F97="Verde / MercadoLíder",0.1375,0.12))-G97),"—")</f>
        <v/>
      </c>
      <c r="J97" s="7">
        <f>IFERROR((I97)*H97,"—")</f>
        <v/>
      </c>
    </row>
    <row r="98" ht="22" customHeight="1">
      <c r="A98" s="5" t="n"/>
      <c r="B98" s="5" t="n"/>
      <c r="C98" s="5" t="n"/>
      <c r="D98" s="5" t="n"/>
      <c r="E98" s="5" t="n"/>
      <c r="F98" s="5" t="n"/>
      <c r="G98" s="6" t="n"/>
      <c r="H98" s="6" t="n"/>
      <c r="I98" s="7">
        <f>IFERROR((IF(E98="Full",IF(D98&lt;=0.5,2190,IF(D98&lt;=1,2628,IF(D98&lt;=2,3030,IF(D98&lt;=5,3480,IF(D98&lt;=10,4800,IF(D98&lt;=20,5800,7200)))))),IF(E98="Flex",3030,0))+C98)/(1-H98-(IF(F98="Verde / MercadoLíder",0.1375,0.12))-G98),"—")</f>
        <v/>
      </c>
      <c r="J98" s="7">
        <f>IFERROR((I98)*H98,"—")</f>
        <v/>
      </c>
    </row>
    <row r="99" ht="22" customHeight="1">
      <c r="A99" s="5" t="n"/>
      <c r="B99" s="5" t="n"/>
      <c r="C99" s="5" t="n"/>
      <c r="D99" s="5" t="n"/>
      <c r="E99" s="5" t="n"/>
      <c r="F99" s="5" t="n"/>
      <c r="G99" s="6" t="n"/>
      <c r="H99" s="6" t="n"/>
      <c r="I99" s="7">
        <f>IFERROR((IF(E99="Full",IF(D99&lt;=0.5,2190,IF(D99&lt;=1,2628,IF(D99&lt;=2,3030,IF(D99&lt;=5,3480,IF(D99&lt;=10,4800,IF(D99&lt;=20,5800,7200)))))),IF(E99="Flex",3030,0))+C99)/(1-H99-(IF(F99="Verde / MercadoLíder",0.1375,0.12))-G99),"—")</f>
        <v/>
      </c>
      <c r="J99" s="7">
        <f>IFERROR((I99)*H99,"—")</f>
        <v/>
      </c>
    </row>
    <row r="100" ht="22" customHeight="1">
      <c r="A100" s="5" t="n"/>
      <c r="B100" s="5" t="n"/>
      <c r="C100" s="5" t="n"/>
      <c r="D100" s="5" t="n"/>
      <c r="E100" s="5" t="n"/>
      <c r="F100" s="5" t="n"/>
      <c r="G100" s="6" t="n"/>
      <c r="H100" s="6" t="n"/>
      <c r="I100" s="7">
        <f>IFERROR((IF(E100="Full",IF(D100&lt;=0.5,2190,IF(D100&lt;=1,2628,IF(D100&lt;=2,3030,IF(D100&lt;=5,3480,IF(D100&lt;=10,4800,IF(D100&lt;=20,5800,7200)))))),IF(E100="Flex",3030,0))+C100)/(1-H100-(IF(F100="Verde / MercadoLíder",0.1375,0.12))-G100),"—")</f>
        <v/>
      </c>
      <c r="J100" s="7">
        <f>IFERROR((I100)*H100,"—")</f>
        <v/>
      </c>
    </row>
    <row r="101" ht="22" customHeight="1">
      <c r="A101" s="5" t="n"/>
      <c r="B101" s="5" t="n"/>
      <c r="C101" s="5" t="n"/>
      <c r="D101" s="5" t="n"/>
      <c r="E101" s="5" t="n"/>
      <c r="F101" s="5" t="n"/>
      <c r="G101" s="6" t="n"/>
      <c r="H101" s="6" t="n"/>
      <c r="I101" s="7">
        <f>IFERROR((IF(E101="Full",IF(D101&lt;=0.5,2190,IF(D101&lt;=1,2628,IF(D101&lt;=2,3030,IF(D101&lt;=5,3480,IF(D101&lt;=10,4800,IF(D101&lt;=20,5800,7200)))))),IF(E101="Flex",3030,0))+C101)/(1-H101-(IF(F101="Verde / MercadoLíder",0.1375,0.12))-G101),"—")</f>
        <v/>
      </c>
      <c r="J101" s="7">
        <f>IFERROR((I101)*H101,"—")</f>
        <v/>
      </c>
    </row>
    <row r="102" ht="22" customHeight="1">
      <c r="A102" s="5" t="n"/>
      <c r="B102" s="5" t="n"/>
      <c r="C102" s="5" t="n"/>
      <c r="D102" s="5" t="n"/>
      <c r="E102" s="5" t="n"/>
      <c r="F102" s="5" t="n"/>
      <c r="G102" s="6" t="n"/>
      <c r="H102" s="6" t="n"/>
      <c r="I102" s="7">
        <f>IFERROR((IF(E102="Full",IF(D102&lt;=0.5,2190,IF(D102&lt;=1,2628,IF(D102&lt;=2,3030,IF(D102&lt;=5,3480,IF(D102&lt;=10,4800,IF(D102&lt;=20,5800,7200)))))),IF(E102="Flex",3030,0))+C102)/(1-H102-(IF(F102="Verde / MercadoLíder",0.1375,0.12))-G102),"—")</f>
        <v/>
      </c>
      <c r="J102" s="7">
        <f>IFERROR((I102)*H102,"—")</f>
        <v/>
      </c>
    </row>
    <row r="103" ht="22" customHeight="1">
      <c r="A103" s="5" t="n"/>
      <c r="B103" s="5" t="n"/>
      <c r="C103" s="5" t="n"/>
      <c r="D103" s="5" t="n"/>
      <c r="E103" s="5" t="n"/>
      <c r="F103" s="5" t="n"/>
      <c r="G103" s="6" t="n"/>
      <c r="H103" s="6" t="n"/>
      <c r="I103" s="7">
        <f>IFERROR((IF(E103="Full",IF(D103&lt;=0.5,2190,IF(D103&lt;=1,2628,IF(D103&lt;=2,3030,IF(D103&lt;=5,3480,IF(D103&lt;=10,4800,IF(D103&lt;=20,5800,7200)))))),IF(E103="Flex",3030,0))+C103)/(1-H103-(IF(F103="Verde / MercadoLíder",0.1375,0.12))-G103),"—")</f>
        <v/>
      </c>
      <c r="J103" s="7">
        <f>IFERROR((I103)*H103,"—")</f>
        <v/>
      </c>
    </row>
    <row r="104" ht="22" customHeight="1">
      <c r="A104" s="5" t="n"/>
      <c r="B104" s="5" t="n"/>
      <c r="C104" s="5" t="n"/>
      <c r="D104" s="5" t="n"/>
      <c r="E104" s="5" t="n"/>
      <c r="F104" s="5" t="n"/>
      <c r="G104" s="6" t="n"/>
      <c r="H104" s="6" t="n"/>
      <c r="I104" s="7">
        <f>IFERROR((IF(E104="Full",IF(D104&lt;=0.5,2190,IF(D104&lt;=1,2628,IF(D104&lt;=2,3030,IF(D104&lt;=5,3480,IF(D104&lt;=10,4800,IF(D104&lt;=20,5800,7200)))))),IF(E104="Flex",3030,0))+C104)/(1-H104-(IF(F104="Verde / MercadoLíder",0.1375,0.12))-G104),"—")</f>
        <v/>
      </c>
      <c r="J104" s="7">
        <f>IFERROR((I104)*H104,"—")</f>
        <v/>
      </c>
    </row>
  </sheetData>
  <mergeCells count="2">
    <mergeCell ref="A1:J1"/>
    <mergeCell ref="A2:J2"/>
  </mergeCells>
  <dataValidations count="2">
    <dataValidation sqref="E5:E104" showDropDown="0" showInputMessage="0" showErrorMessage="0" allowBlank="1" type="list">
      <formula1>"Full,Flex,Retiro domicilio"</formula1>
    </dataValidation>
    <dataValidation sqref="F5:F104" showDropDown="0" showInputMessage="0" showErrorMessage="0" allowBlank="1" type="list">
      <formula1>"Verde / MercadoLíder,Naranja o Roja"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2026-04-29T22:07:18Z</dcterms:created>
  <dcterms:modified xmlns:dcterms="http://purl.org/dc/terms/" xmlns:xsi="http://www.w3.org/2001/XMLSchema-instance" xsi:type="dcterms:W3CDTF">2026-04-29T22:07:18Z</dcterms:modified>
</cp:coreProperties>
</file>