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6B6B"/>
      <sz val="9"/>
    </font>
    <font>
      <name val="Arial"/>
      <b val="1"/>
      <color rgb="001A1A1A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D600"/>
      </patternFill>
    </fill>
    <fill>
      <patternFill patternType="solid">
        <fgColor rgb="002E7D32"/>
      </patternFill>
    </fill>
    <fill>
      <patternFill patternType="solid">
        <fgColor rgb="00FFF9E6"/>
      </patternFill>
    </fill>
    <fill>
      <patternFill patternType="solid">
        <fgColor rgb="00F0F7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0" fontId="5" fillId="5" borderId="1" applyAlignment="1" pivotButton="0" quotePrefix="0" xfId="0">
      <alignment vertical="center"/>
    </xf>
    <xf numFmtId="1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8" customWidth="1" min="5" max="5"/>
    <col width="14" customWidth="1" min="6" max="6"/>
    <col width="20" customWidth="1" min="7" max="7"/>
    <col width="15" customWidth="1" min="8" max="8"/>
    <col width="20" customWidth="1" min="9" max="9"/>
    <col width="18" customWidth="1" min="10" max="10"/>
  </cols>
  <sheetData>
    <row r="1" ht="36" customHeight="1">
      <c r="A1" s="1" t="inlineStr">
        <is>
          <t>📊  PLANILLA 4 — Pricing Comercial  ·  MeliGrowth OPS</t>
        </is>
      </c>
    </row>
    <row r="2" ht="20" customHeight="1">
      <c r="A2" s="2" t="inlineStr">
        <is>
          <t>Columnas AMARILLAS: completás vos  ·  Columnas VERDES: proyecciones automáticas</t>
        </is>
      </c>
    </row>
    <row r="3">
      <c r="A3" s="3" t="inlineStr">
        <is>
          <t>Nombre del plan</t>
        </is>
      </c>
      <c r="B3" s="3" t="inlineStr">
        <is>
          <t>Ventas actuales $</t>
        </is>
      </c>
      <c r="C3" s="3" t="inlineStr">
        <is>
          <t>Ventas proyectadas $</t>
        </is>
      </c>
      <c r="D3" s="3" t="inlineStr">
        <is>
          <t>Margen bruto %</t>
        </is>
      </c>
      <c r="E3" s="3" t="inlineStr">
        <is>
          <t>Costo logístico $</t>
        </is>
      </c>
      <c r="F3" s="3" t="inlineStr">
        <is>
          <t>Fee inicial $</t>
        </is>
      </c>
      <c r="G3" s="3" t="inlineStr">
        <is>
          <t>Meses de proyección</t>
        </is>
      </c>
      <c r="H3" s="4" t="inlineStr">
        <is>
          <t>Margen neto %</t>
        </is>
      </c>
      <c r="I3" s="4" t="inlineStr">
        <is>
          <t>Ganancia mensual $</t>
        </is>
      </c>
      <c r="J3" s="4" t="inlineStr">
        <is>
          <t>Ganancia total $</t>
        </is>
      </c>
    </row>
    <row r="4">
      <c r="A4" s="2" t="inlineStr">
        <is>
          <t>nombre del escenario</t>
        </is>
      </c>
      <c r="B4" s="2" t="inlineStr">
        <is>
          <t>ventas/mes actuales</t>
        </is>
      </c>
      <c r="C4" s="2" t="inlineStr">
        <is>
          <t>ventas/mes objetivo</t>
        </is>
      </c>
      <c r="D4" s="2" t="inlineStr">
        <is>
          <t>0.30 = 30%</t>
        </is>
      </c>
      <c r="E4" s="2" t="inlineStr">
        <is>
          <t>envíos + full</t>
        </is>
      </c>
      <c r="F4" s="2" t="inlineStr">
        <is>
          <t>setup opcional</t>
        </is>
      </c>
      <c r="G4" s="2" t="inlineStr">
        <is>
          <t>ej: 6 o 12</t>
        </is>
      </c>
      <c r="H4" s="2" t="inlineStr">
        <is>
          <t>automático</t>
        </is>
      </c>
      <c r="I4" s="2" t="inlineStr">
        <is>
          <t>automático</t>
        </is>
      </c>
      <c r="J4" s="2" t="inlineStr">
        <is>
          <t>automático</t>
        </is>
      </c>
    </row>
    <row r="5" ht="22" customHeight="1">
      <c r="A5" s="5" t="inlineStr">
        <is>
          <t>Plan Growth CABA</t>
        </is>
      </c>
      <c r="B5" s="6" t="n">
        <v>12500000</v>
      </c>
      <c r="C5" s="6" t="n">
        <v>18900000</v>
      </c>
      <c r="D5" s="7" t="n">
        <v>0.34</v>
      </c>
      <c r="E5" s="6" t="n">
        <v>420000</v>
      </c>
      <c r="F5" s="6" t="n">
        <v>180000</v>
      </c>
      <c r="G5" s="5" t="n">
        <v>6</v>
      </c>
      <c r="H5" s="8">
        <f>IFERROR(D5-E5/C5,"—")</f>
        <v/>
      </c>
      <c r="I5" s="9">
        <f>IFERROR(C5*H5,"—")</f>
        <v/>
      </c>
      <c r="J5" s="9">
        <f>IFERROR(I5*G5-F5,"—")</f>
        <v/>
      </c>
    </row>
    <row r="6" ht="22" customHeight="1">
      <c r="A6" s="5" t="inlineStr">
        <is>
          <t>Plan Escalado Nacional</t>
        </is>
      </c>
      <c r="B6" s="6" t="n">
        <v>12500000</v>
      </c>
      <c r="C6" s="6" t="n">
        <v>28000000</v>
      </c>
      <c r="D6" s="7" t="n">
        <v>0.32</v>
      </c>
      <c r="E6" s="6" t="n">
        <v>680000</v>
      </c>
      <c r="F6" s="6" t="n">
        <v>180000</v>
      </c>
      <c r="G6" s="5" t="n">
        <v>12</v>
      </c>
      <c r="H6" s="8">
        <f>IFERROR(D6-E6/C6,"—")</f>
        <v/>
      </c>
      <c r="I6" s="9">
        <f>IFERROR(C6*H6,"—")</f>
        <v/>
      </c>
      <c r="J6" s="9">
        <f>IFERROR(I6*G6-F6,"—")</f>
        <v/>
      </c>
    </row>
    <row r="7" ht="22" customHeight="1">
      <c r="A7" s="5" t="inlineStr">
        <is>
          <t>Plan Conservador</t>
        </is>
      </c>
      <c r="B7" s="6" t="n">
        <v>12500000</v>
      </c>
      <c r="C7" s="6" t="n">
        <v>15000000</v>
      </c>
      <c r="D7" s="7" t="n">
        <v>0.36</v>
      </c>
      <c r="E7" s="6" t="n">
        <v>320000</v>
      </c>
      <c r="F7" s="6" t="n">
        <v>0</v>
      </c>
      <c r="G7" s="5" t="n">
        <v>6</v>
      </c>
      <c r="H7" s="8">
        <f>IFERROR(D7-E7/C7,"—")</f>
        <v/>
      </c>
      <c r="I7" s="9">
        <f>IFERROR(C7*H7,"—")</f>
        <v/>
      </c>
      <c r="J7" s="9">
        <f>IFERROR(I7*G7-F7,"—")</f>
        <v/>
      </c>
    </row>
    <row r="8" ht="22" customHeight="1">
      <c r="A8" s="5" t="n"/>
      <c r="B8" s="6" t="n"/>
      <c r="C8" s="6" t="n"/>
      <c r="D8" s="7" t="n"/>
      <c r="E8" s="6" t="n"/>
      <c r="F8" s="6" t="n"/>
      <c r="G8" s="5" t="n"/>
      <c r="H8" s="8">
        <f>IFERROR(D8-E8/C8,"—")</f>
        <v/>
      </c>
      <c r="I8" s="9">
        <f>IFERROR(C8*H8,"—")</f>
        <v/>
      </c>
      <c r="J8" s="9">
        <f>IFERROR(I8*G8-F8,"—")</f>
        <v/>
      </c>
    </row>
    <row r="9" ht="22" customHeight="1">
      <c r="A9" s="5" t="n"/>
      <c r="B9" s="6" t="n"/>
      <c r="C9" s="6" t="n"/>
      <c r="D9" s="7" t="n"/>
      <c r="E9" s="6" t="n"/>
      <c r="F9" s="6" t="n"/>
      <c r="G9" s="5" t="n"/>
      <c r="H9" s="8">
        <f>IFERROR(D9-E9/C9,"—")</f>
        <v/>
      </c>
      <c r="I9" s="9">
        <f>IFERROR(C9*H9,"—")</f>
        <v/>
      </c>
      <c r="J9" s="9">
        <f>IFERROR(I9*G9-F9,"—")</f>
        <v/>
      </c>
    </row>
    <row r="10" ht="22" customHeight="1">
      <c r="A10" s="5" t="n"/>
      <c r="B10" s="6" t="n"/>
      <c r="C10" s="6" t="n"/>
      <c r="D10" s="7" t="n"/>
      <c r="E10" s="6" t="n"/>
      <c r="F10" s="6" t="n"/>
      <c r="G10" s="5" t="n"/>
      <c r="H10" s="8">
        <f>IFERROR(D10-E10/C10,"—")</f>
        <v/>
      </c>
      <c r="I10" s="9">
        <f>IFERROR(C10*H10,"—")</f>
        <v/>
      </c>
      <c r="J10" s="9">
        <f>IFERROR(I10*G10-F10,"—")</f>
        <v/>
      </c>
    </row>
    <row r="11" ht="22" customHeight="1">
      <c r="A11" s="5" t="n"/>
      <c r="B11" s="6" t="n"/>
      <c r="C11" s="6" t="n"/>
      <c r="D11" s="7" t="n"/>
      <c r="E11" s="6" t="n"/>
      <c r="F11" s="6" t="n"/>
      <c r="G11" s="5" t="n"/>
      <c r="H11" s="8">
        <f>IFERROR(D11-E11/C11,"—")</f>
        <v/>
      </c>
      <c r="I11" s="9">
        <f>IFERROR(C11*H11,"—")</f>
        <v/>
      </c>
      <c r="J11" s="9">
        <f>IFERROR(I11*G11-F11,"—")</f>
        <v/>
      </c>
    </row>
    <row r="12" ht="22" customHeight="1">
      <c r="A12" s="5" t="n"/>
      <c r="B12" s="6" t="n"/>
      <c r="C12" s="6" t="n"/>
      <c r="D12" s="7" t="n"/>
      <c r="E12" s="6" t="n"/>
      <c r="F12" s="6" t="n"/>
      <c r="G12" s="5" t="n"/>
      <c r="H12" s="8">
        <f>IFERROR(D12-E12/C12,"—")</f>
        <v/>
      </c>
      <c r="I12" s="9">
        <f>IFERROR(C12*H12,"—")</f>
        <v/>
      </c>
      <c r="J12" s="9">
        <f>IFERROR(I12*G12-F12,"—")</f>
        <v/>
      </c>
    </row>
    <row r="13" ht="22" customHeight="1">
      <c r="A13" s="5" t="n"/>
      <c r="B13" s="6" t="n"/>
      <c r="C13" s="6" t="n"/>
      <c r="D13" s="7" t="n"/>
      <c r="E13" s="6" t="n"/>
      <c r="F13" s="6" t="n"/>
      <c r="G13" s="5" t="n"/>
      <c r="H13" s="8">
        <f>IFERROR(D13-E13/C13,"—")</f>
        <v/>
      </c>
      <c r="I13" s="9">
        <f>IFERROR(C13*H13,"—")</f>
        <v/>
      </c>
      <c r="J13" s="9">
        <f>IFERROR(I13*G13-F13,"—")</f>
        <v/>
      </c>
    </row>
    <row r="14" ht="22" customHeight="1">
      <c r="A14" s="5" t="n"/>
      <c r="B14" s="6" t="n"/>
      <c r="C14" s="6" t="n"/>
      <c r="D14" s="7" t="n"/>
      <c r="E14" s="6" t="n"/>
      <c r="F14" s="6" t="n"/>
      <c r="G14" s="5" t="n"/>
      <c r="H14" s="8">
        <f>IFERROR(D14-E14/C14,"—")</f>
        <v/>
      </c>
      <c r="I14" s="9">
        <f>IFERROR(C14*H14,"—")</f>
        <v/>
      </c>
      <c r="J14" s="9">
        <f>IFERROR(I14*G14-F14,"—")</f>
        <v/>
      </c>
    </row>
    <row r="15" ht="22" customHeight="1">
      <c r="A15" s="5" t="n"/>
      <c r="B15" s="6" t="n"/>
      <c r="C15" s="6" t="n"/>
      <c r="D15" s="7" t="n"/>
      <c r="E15" s="6" t="n"/>
      <c r="F15" s="6" t="n"/>
      <c r="G15" s="5" t="n"/>
      <c r="H15" s="8">
        <f>IFERROR(D15-E15/C15,"—")</f>
        <v/>
      </c>
      <c r="I15" s="9">
        <f>IFERROR(C15*H15,"—")</f>
        <v/>
      </c>
      <c r="J15" s="9">
        <f>IFERROR(I15*G15-F15,"—")</f>
        <v/>
      </c>
    </row>
    <row r="16" ht="22" customHeight="1">
      <c r="A16" s="5" t="n"/>
      <c r="B16" s="6" t="n"/>
      <c r="C16" s="6" t="n"/>
      <c r="D16" s="7" t="n"/>
      <c r="E16" s="6" t="n"/>
      <c r="F16" s="6" t="n"/>
      <c r="G16" s="5" t="n"/>
      <c r="H16" s="8">
        <f>IFERROR(D16-E16/C16,"—")</f>
        <v/>
      </c>
      <c r="I16" s="9">
        <f>IFERROR(C16*H16,"—")</f>
        <v/>
      </c>
      <c r="J16" s="9">
        <f>IFERROR(I16*G16-F16,"—")</f>
        <v/>
      </c>
    </row>
    <row r="17" ht="22" customHeight="1">
      <c r="A17" s="5" t="n"/>
      <c r="B17" s="6" t="n"/>
      <c r="C17" s="6" t="n"/>
      <c r="D17" s="7" t="n"/>
      <c r="E17" s="6" t="n"/>
      <c r="F17" s="6" t="n"/>
      <c r="G17" s="5" t="n"/>
      <c r="H17" s="8">
        <f>IFERROR(D17-E17/C17,"—")</f>
        <v/>
      </c>
      <c r="I17" s="9">
        <f>IFERROR(C17*H17,"—")</f>
        <v/>
      </c>
      <c r="J17" s="9">
        <f>IFERROR(I17*G17-F17,"—")</f>
        <v/>
      </c>
    </row>
    <row r="18" ht="22" customHeight="1">
      <c r="A18" s="5" t="n"/>
      <c r="B18" s="6" t="n"/>
      <c r="C18" s="6" t="n"/>
      <c r="D18" s="7" t="n"/>
      <c r="E18" s="6" t="n"/>
      <c r="F18" s="6" t="n"/>
      <c r="G18" s="5" t="n"/>
      <c r="H18" s="8">
        <f>IFERROR(D18-E18/C18,"—")</f>
        <v/>
      </c>
      <c r="I18" s="9">
        <f>IFERROR(C18*H18,"—")</f>
        <v/>
      </c>
      <c r="J18" s="9">
        <f>IFERROR(I18*G18-F18,"—")</f>
        <v/>
      </c>
    </row>
    <row r="19" ht="22" customHeight="1">
      <c r="A19" s="5" t="n"/>
      <c r="B19" s="6" t="n"/>
      <c r="C19" s="6" t="n"/>
      <c r="D19" s="7" t="n"/>
      <c r="E19" s="6" t="n"/>
      <c r="F19" s="6" t="n"/>
      <c r="G19" s="5" t="n"/>
      <c r="H19" s="8">
        <f>IFERROR(D19-E19/C19,"—")</f>
        <v/>
      </c>
      <c r="I19" s="9">
        <f>IFERROR(C19*H19,"—")</f>
        <v/>
      </c>
      <c r="J19" s="9">
        <f>IFERROR(I19*G19-F19,"—")</f>
        <v/>
      </c>
    </row>
    <row r="20" ht="22" customHeight="1">
      <c r="A20" s="5" t="n"/>
      <c r="B20" s="6" t="n"/>
      <c r="C20" s="6" t="n"/>
      <c r="D20" s="7" t="n"/>
      <c r="E20" s="6" t="n"/>
      <c r="F20" s="6" t="n"/>
      <c r="G20" s="5" t="n"/>
      <c r="H20" s="8">
        <f>IFERROR(D20-E20/C20,"—")</f>
        <v/>
      </c>
      <c r="I20" s="9">
        <f>IFERROR(C20*H20,"—")</f>
        <v/>
      </c>
      <c r="J20" s="9">
        <f>IFERROR(I20*G20-F20,"—")</f>
        <v/>
      </c>
    </row>
    <row r="21" ht="22" customHeight="1">
      <c r="A21" s="5" t="n"/>
      <c r="B21" s="6" t="n"/>
      <c r="C21" s="6" t="n"/>
      <c r="D21" s="7" t="n"/>
      <c r="E21" s="6" t="n"/>
      <c r="F21" s="6" t="n"/>
      <c r="G21" s="5" t="n"/>
      <c r="H21" s="8">
        <f>IFERROR(D21-E21/C21,"—")</f>
        <v/>
      </c>
      <c r="I21" s="9">
        <f>IFERROR(C21*H21,"—")</f>
        <v/>
      </c>
      <c r="J21" s="9">
        <f>IFERROR(I21*G21-F21,"—")</f>
        <v/>
      </c>
    </row>
    <row r="22" ht="22" customHeight="1">
      <c r="A22" s="5" t="n"/>
      <c r="B22" s="6" t="n"/>
      <c r="C22" s="6" t="n"/>
      <c r="D22" s="7" t="n"/>
      <c r="E22" s="6" t="n"/>
      <c r="F22" s="6" t="n"/>
      <c r="G22" s="5" t="n"/>
      <c r="H22" s="8">
        <f>IFERROR(D22-E22/C22,"—")</f>
        <v/>
      </c>
      <c r="I22" s="9">
        <f>IFERROR(C22*H22,"—")</f>
        <v/>
      </c>
      <c r="J22" s="9">
        <f>IFERROR(I22*G22-F22,"—")</f>
        <v/>
      </c>
    </row>
    <row r="23" ht="22" customHeight="1">
      <c r="A23" s="5" t="n"/>
      <c r="B23" s="6" t="n"/>
      <c r="C23" s="6" t="n"/>
      <c r="D23" s="7" t="n"/>
      <c r="E23" s="6" t="n"/>
      <c r="F23" s="6" t="n"/>
      <c r="G23" s="5" t="n"/>
      <c r="H23" s="8">
        <f>IFERROR(D23-E23/C23,"—")</f>
        <v/>
      </c>
      <c r="I23" s="9">
        <f>IFERROR(C23*H23,"—")</f>
        <v/>
      </c>
      <c r="J23" s="9">
        <f>IFERROR(I23*G23-F23,"—")</f>
        <v/>
      </c>
    </row>
    <row r="24" ht="22" customHeight="1">
      <c r="A24" s="5" t="n"/>
      <c r="B24" s="6" t="n"/>
      <c r="C24" s="6" t="n"/>
      <c r="D24" s="7" t="n"/>
      <c r="E24" s="6" t="n"/>
      <c r="F24" s="6" t="n"/>
      <c r="G24" s="5" t="n"/>
      <c r="H24" s="8">
        <f>IFERROR(D24-E24/C24,"—")</f>
        <v/>
      </c>
      <c r="I24" s="9">
        <f>IFERROR(C24*H24,"—")</f>
        <v/>
      </c>
      <c r="J24" s="9">
        <f>IFERROR(I24*G24-F24,"—")</f>
        <v/>
      </c>
    </row>
    <row r="25" ht="22" customHeight="1">
      <c r="A25" s="5" t="n"/>
      <c r="B25" s="6" t="n"/>
      <c r="C25" s="6" t="n"/>
      <c r="D25" s="7" t="n"/>
      <c r="E25" s="6" t="n"/>
      <c r="F25" s="6" t="n"/>
      <c r="G25" s="5" t="n"/>
      <c r="H25" s="8">
        <f>IFERROR(D25-E25/C25,"—")</f>
        <v/>
      </c>
      <c r="I25" s="9">
        <f>IFERROR(C25*H25,"—")</f>
        <v/>
      </c>
      <c r="J25" s="9">
        <f>IFERROR(I25*G25-F25,"—")</f>
        <v/>
      </c>
    </row>
    <row r="26" ht="22" customHeight="1">
      <c r="A26" s="5" t="n"/>
      <c r="B26" s="6" t="n"/>
      <c r="C26" s="6" t="n"/>
      <c r="D26" s="7" t="n"/>
      <c r="E26" s="6" t="n"/>
      <c r="F26" s="6" t="n"/>
      <c r="G26" s="5" t="n"/>
      <c r="H26" s="8">
        <f>IFERROR(D26-E26/C26,"—")</f>
        <v/>
      </c>
      <c r="I26" s="9">
        <f>IFERROR(C26*H26,"—")</f>
        <v/>
      </c>
      <c r="J26" s="9">
        <f>IFERROR(I26*G26-F26,"—")</f>
        <v/>
      </c>
    </row>
    <row r="27" ht="22" customHeight="1">
      <c r="A27" s="5" t="n"/>
      <c r="B27" s="6" t="n"/>
      <c r="C27" s="6" t="n"/>
      <c r="D27" s="7" t="n"/>
      <c r="E27" s="6" t="n"/>
      <c r="F27" s="6" t="n"/>
      <c r="G27" s="5" t="n"/>
      <c r="H27" s="8">
        <f>IFERROR(D27-E27/C27,"—")</f>
        <v/>
      </c>
      <c r="I27" s="9">
        <f>IFERROR(C27*H27,"—")</f>
        <v/>
      </c>
      <c r="J27" s="9">
        <f>IFERROR(I27*G27-F27,"—")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2026-04-29T22:07:18Z</dcterms:created>
  <dcterms:modified xmlns:dcterms="http://purl.org/dc/terms/" xmlns:xsi="http://www.w3.org/2001/XMLSchema-instance" xsi:type="dcterms:W3CDTF">2026-04-29T22:07:18Z</dcterms:modified>
</cp:coreProperties>
</file>